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mayreddy/Desktop/"/>
    </mc:Choice>
  </mc:AlternateContent>
  <xr:revisionPtr revIDLastSave="0" documentId="8_{C49F3AE8-A2FE-2246-B7ED-A3BD9C31A878}" xr6:coauthVersionLast="47" xr6:coauthVersionMax="47" xr10:uidLastSave="{00000000-0000-0000-0000-000000000000}"/>
  <bookViews>
    <workbookView xWindow="0" yWindow="660" windowWidth="28720" windowHeight="17160" xr2:uid="{BD0CB9A7-A386-8C44-8AB6-2DAFC4E29647}"/>
  </bookViews>
  <sheets>
    <sheet name="README" sheetId="6" r:id="rId1"/>
    <sheet name="Internal_Trades" sheetId="1" r:id="rId2"/>
    <sheet name="Broker_Confirms" sheetId="2" r:id="rId3"/>
    <sheet name="Reconciliation" sheetId="5" r:id="rId4"/>
    <sheet name="Dashboard" sheetId="3" r:id="rId5"/>
    <sheet name="Reference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3" l="1"/>
  <c r="B15" i="3"/>
  <c r="B14" i="3"/>
  <c r="B13" i="3"/>
  <c r="B12" i="3"/>
  <c r="B8" i="3"/>
  <c r="B7" i="3"/>
  <c r="A3" i="5"/>
  <c r="B3" i="5"/>
  <c r="C3" i="5"/>
  <c r="D3" i="5"/>
  <c r="E3" i="5"/>
  <c r="F3" i="5"/>
  <c r="G3" i="5"/>
  <c r="H3" i="5"/>
  <c r="I3" i="5"/>
  <c r="J3" i="5"/>
  <c r="K3" i="5"/>
  <c r="L3" i="5"/>
  <c r="A4" i="5"/>
  <c r="B4" i="5"/>
  <c r="C4" i="5"/>
  <c r="D4" i="5"/>
  <c r="E4" i="5"/>
  <c r="F4" i="5"/>
  <c r="G4" i="5"/>
  <c r="H4" i="5"/>
  <c r="I4" i="5"/>
  <c r="J4" i="5"/>
  <c r="K4" i="5"/>
  <c r="L4" i="5"/>
  <c r="A5" i="5"/>
  <c r="B5" i="5"/>
  <c r="C5" i="5"/>
  <c r="D5" i="5"/>
  <c r="E5" i="5"/>
  <c r="F5" i="5"/>
  <c r="G5" i="5"/>
  <c r="H5" i="5"/>
  <c r="I5" i="5"/>
  <c r="J5" i="5"/>
  <c r="K5" i="5"/>
  <c r="L5" i="5"/>
  <c r="A6" i="5"/>
  <c r="B6" i="5"/>
  <c r="C6" i="5"/>
  <c r="D6" i="5"/>
  <c r="E6" i="5"/>
  <c r="F6" i="5"/>
  <c r="G6" i="5"/>
  <c r="H6" i="5"/>
  <c r="I6" i="5"/>
  <c r="J6" i="5"/>
  <c r="K6" i="5"/>
  <c r="L6" i="5"/>
  <c r="A7" i="5"/>
  <c r="B7" i="5"/>
  <c r="C7" i="5"/>
  <c r="D7" i="5"/>
  <c r="E7" i="5"/>
  <c r="F7" i="5"/>
  <c r="G7" i="5"/>
  <c r="H7" i="5"/>
  <c r="I7" i="5"/>
  <c r="J7" i="5"/>
  <c r="K7" i="5"/>
  <c r="L7" i="5"/>
  <c r="A8" i="5"/>
  <c r="B8" i="5"/>
  <c r="C8" i="5"/>
  <c r="D8" i="5"/>
  <c r="E8" i="5"/>
  <c r="F8" i="5"/>
  <c r="G8" i="5"/>
  <c r="H8" i="5"/>
  <c r="I8" i="5"/>
  <c r="J8" i="5"/>
  <c r="K8" i="5"/>
  <c r="L8" i="5"/>
  <c r="A9" i="5"/>
  <c r="B9" i="5"/>
  <c r="C9" i="5"/>
  <c r="D9" i="5"/>
  <c r="E9" i="5"/>
  <c r="F9" i="5"/>
  <c r="G9" i="5"/>
  <c r="H9" i="5"/>
  <c r="I9" i="5"/>
  <c r="J9" i="5"/>
  <c r="K9" i="5"/>
  <c r="L9" i="5"/>
  <c r="A10" i="5"/>
  <c r="B10" i="5"/>
  <c r="C10" i="5"/>
  <c r="D10" i="5"/>
  <c r="E10" i="5"/>
  <c r="F10" i="5"/>
  <c r="G10" i="5"/>
  <c r="H10" i="5"/>
  <c r="I10" i="5"/>
  <c r="J10" i="5"/>
  <c r="K10" i="5"/>
  <c r="L10" i="5"/>
  <c r="A11" i="5"/>
  <c r="B11" i="5"/>
  <c r="C11" i="5"/>
  <c r="D11" i="5"/>
  <c r="E11" i="5"/>
  <c r="F11" i="5"/>
  <c r="G11" i="5"/>
  <c r="H11" i="5"/>
  <c r="I11" i="5"/>
  <c r="J11" i="5"/>
  <c r="K11" i="5"/>
  <c r="L11" i="5"/>
  <c r="A12" i="5"/>
  <c r="B12" i="5"/>
  <c r="C12" i="5"/>
  <c r="D12" i="5"/>
  <c r="E12" i="5"/>
  <c r="F12" i="5"/>
  <c r="I12" i="5" s="1"/>
  <c r="L12" i="5" s="1"/>
  <c r="G12" i="5"/>
  <c r="H12" i="5"/>
  <c r="J12" i="5"/>
  <c r="K12" i="5"/>
  <c r="A13" i="5"/>
  <c r="B13" i="5"/>
  <c r="C13" i="5"/>
  <c r="D13" i="5"/>
  <c r="E13" i="5"/>
  <c r="F13" i="5"/>
  <c r="G13" i="5"/>
  <c r="H13" i="5"/>
  <c r="I13" i="5"/>
  <c r="J13" i="5"/>
  <c r="K13" i="5"/>
  <c r="L13" i="5"/>
  <c r="A14" i="5"/>
  <c r="B14" i="5"/>
  <c r="C14" i="5"/>
  <c r="D14" i="5"/>
  <c r="E14" i="5"/>
  <c r="F14" i="5"/>
  <c r="G14" i="5"/>
  <c r="H14" i="5"/>
  <c r="I14" i="5"/>
  <c r="J14" i="5"/>
  <c r="K14" i="5"/>
  <c r="L14" i="5"/>
  <c r="A15" i="5"/>
  <c r="B15" i="5"/>
  <c r="C15" i="5"/>
  <c r="D15" i="5"/>
  <c r="E15" i="5"/>
  <c r="F15" i="5"/>
  <c r="G15" i="5"/>
  <c r="H15" i="5"/>
  <c r="K15" i="5" s="1"/>
  <c r="I15" i="5"/>
  <c r="L15" i="5" s="1"/>
  <c r="J15" i="5"/>
  <c r="A16" i="5"/>
  <c r="B16" i="5"/>
  <c r="C16" i="5"/>
  <c r="D16" i="5"/>
  <c r="E16" i="5"/>
  <c r="F16" i="5"/>
  <c r="G16" i="5"/>
  <c r="H16" i="5"/>
  <c r="I16" i="5"/>
  <c r="J16" i="5"/>
  <c r="K16" i="5"/>
  <c r="L16" i="5"/>
  <c r="A17" i="5"/>
  <c r="B17" i="5"/>
  <c r="C17" i="5"/>
  <c r="D17" i="5"/>
  <c r="E17" i="5"/>
  <c r="F17" i="5"/>
  <c r="G17" i="5"/>
  <c r="H17" i="5"/>
  <c r="I17" i="5"/>
  <c r="J17" i="5"/>
  <c r="K17" i="5"/>
  <c r="L17" i="5"/>
  <c r="A18" i="5"/>
  <c r="B18" i="5"/>
  <c r="C18" i="5"/>
  <c r="D18" i="5"/>
  <c r="E18" i="5"/>
  <c r="F18" i="5"/>
  <c r="G18" i="5"/>
  <c r="H18" i="5"/>
  <c r="I18" i="5"/>
  <c r="J18" i="5"/>
  <c r="K18" i="5"/>
  <c r="L18" i="5"/>
  <c r="A19" i="5"/>
  <c r="B19" i="5"/>
  <c r="C19" i="5"/>
  <c r="D19" i="5"/>
  <c r="E19" i="5"/>
  <c r="F19" i="5"/>
  <c r="G19" i="5"/>
  <c r="H19" i="5"/>
  <c r="I19" i="5"/>
  <c r="J19" i="5"/>
  <c r="K19" i="5"/>
  <c r="L19" i="5"/>
  <c r="A20" i="5"/>
  <c r="B20" i="5"/>
  <c r="C20" i="5"/>
  <c r="D20" i="5"/>
  <c r="E20" i="5"/>
  <c r="F20" i="5"/>
  <c r="G20" i="5"/>
  <c r="H20" i="5"/>
  <c r="I20" i="5"/>
  <c r="J20" i="5"/>
  <c r="K20" i="5"/>
  <c r="L20" i="5"/>
  <c r="A21" i="5"/>
  <c r="B21" i="5"/>
  <c r="C21" i="5"/>
  <c r="D21" i="5"/>
  <c r="E21" i="5"/>
  <c r="F21" i="5"/>
  <c r="G21" i="5"/>
  <c r="H21" i="5"/>
  <c r="I21" i="5"/>
  <c r="J21" i="5"/>
  <c r="K21" i="5"/>
  <c r="L21" i="5"/>
  <c r="A22" i="5"/>
  <c r="B22" i="5"/>
  <c r="C22" i="5"/>
  <c r="D22" i="5"/>
  <c r="E22" i="5"/>
  <c r="F22" i="5"/>
  <c r="G22" i="5"/>
  <c r="H22" i="5"/>
  <c r="I22" i="5"/>
  <c r="J22" i="5"/>
  <c r="K22" i="5"/>
  <c r="L22" i="5"/>
  <c r="A23" i="5"/>
  <c r="B23" i="5"/>
  <c r="C23" i="5"/>
  <c r="D23" i="5"/>
  <c r="E23" i="5"/>
  <c r="F23" i="5"/>
  <c r="G23" i="5"/>
  <c r="H23" i="5"/>
  <c r="I23" i="5"/>
  <c r="J23" i="5"/>
  <c r="K23" i="5"/>
  <c r="L23" i="5"/>
  <c r="A24" i="5"/>
  <c r="B24" i="5"/>
  <c r="C24" i="5"/>
  <c r="D24" i="5"/>
  <c r="E24" i="5"/>
  <c r="F24" i="5"/>
  <c r="G24" i="5"/>
  <c r="H24" i="5"/>
  <c r="I24" i="5"/>
  <c r="J24" i="5"/>
  <c r="K24" i="5"/>
  <c r="L24" i="5"/>
  <c r="A25" i="5"/>
  <c r="B25" i="5"/>
  <c r="C25" i="5"/>
  <c r="D25" i="5"/>
  <c r="E25" i="5"/>
  <c r="F25" i="5"/>
  <c r="G25" i="5"/>
  <c r="H25" i="5"/>
  <c r="I25" i="5"/>
  <c r="J25" i="5"/>
  <c r="K25" i="5"/>
  <c r="L25" i="5"/>
  <c r="A26" i="5"/>
  <c r="B26" i="5"/>
  <c r="C26" i="5"/>
  <c r="D26" i="5"/>
  <c r="E26" i="5"/>
  <c r="F26" i="5"/>
  <c r="G26" i="5"/>
  <c r="H26" i="5"/>
  <c r="I26" i="5"/>
  <c r="J26" i="5"/>
  <c r="K26" i="5"/>
  <c r="L26" i="5"/>
  <c r="A27" i="5"/>
  <c r="B27" i="5"/>
  <c r="C27" i="5"/>
  <c r="D27" i="5"/>
  <c r="E27" i="5"/>
  <c r="F27" i="5"/>
  <c r="G27" i="5"/>
  <c r="H27" i="5"/>
  <c r="I27" i="5"/>
  <c r="J27" i="5"/>
  <c r="K27" i="5"/>
  <c r="L27" i="5"/>
  <c r="A28" i="5"/>
  <c r="B28" i="5"/>
  <c r="C28" i="5"/>
  <c r="D28" i="5"/>
  <c r="E28" i="5"/>
  <c r="F28" i="5"/>
  <c r="I28" i="5" s="1"/>
  <c r="G28" i="5"/>
  <c r="J28" i="5" s="1"/>
  <c r="H28" i="5"/>
  <c r="K28" i="5" s="1"/>
  <c r="A29" i="5"/>
  <c r="B29" i="5"/>
  <c r="C29" i="5"/>
  <c r="D29" i="5"/>
  <c r="E29" i="5"/>
  <c r="F29" i="5"/>
  <c r="G29" i="5"/>
  <c r="H29" i="5"/>
  <c r="I29" i="5"/>
  <c r="J29" i="5"/>
  <c r="K29" i="5"/>
  <c r="L29" i="5"/>
  <c r="A30" i="5"/>
  <c r="B30" i="5"/>
  <c r="C30" i="5"/>
  <c r="D30" i="5"/>
  <c r="E30" i="5"/>
  <c r="F30" i="5"/>
  <c r="G30" i="5"/>
  <c r="H30" i="5"/>
  <c r="I30" i="5"/>
  <c r="J30" i="5"/>
  <c r="K30" i="5"/>
  <c r="L30" i="5"/>
  <c r="A31" i="5"/>
  <c r="B31" i="5"/>
  <c r="C31" i="5"/>
  <c r="D31" i="5"/>
  <c r="E31" i="5"/>
  <c r="F31" i="5"/>
  <c r="G31" i="5"/>
  <c r="H31" i="5"/>
  <c r="I31" i="5"/>
  <c r="J31" i="5"/>
  <c r="K31" i="5"/>
  <c r="L31" i="5"/>
  <c r="A32" i="5"/>
  <c r="B32" i="5"/>
  <c r="C32" i="5"/>
  <c r="D32" i="5"/>
  <c r="E32" i="5"/>
  <c r="F32" i="5"/>
  <c r="G32" i="5"/>
  <c r="H32" i="5"/>
  <c r="I32" i="5"/>
  <c r="J32" i="5"/>
  <c r="K32" i="5"/>
  <c r="L32" i="5"/>
  <c r="A33" i="5"/>
  <c r="B33" i="5"/>
  <c r="C33" i="5"/>
  <c r="D33" i="5"/>
  <c r="E33" i="5"/>
  <c r="F33" i="5"/>
  <c r="G33" i="5"/>
  <c r="H33" i="5"/>
  <c r="I33" i="5"/>
  <c r="J33" i="5"/>
  <c r="K33" i="5"/>
  <c r="L33" i="5"/>
  <c r="A34" i="5"/>
  <c r="B34" i="5"/>
  <c r="C34" i="5"/>
  <c r="D34" i="5"/>
  <c r="E34" i="5"/>
  <c r="F34" i="5"/>
  <c r="G34" i="5"/>
  <c r="H34" i="5"/>
  <c r="I34" i="5"/>
  <c r="J34" i="5"/>
  <c r="K34" i="5"/>
  <c r="L34" i="5"/>
  <c r="A35" i="5"/>
  <c r="B35" i="5"/>
  <c r="C35" i="5"/>
  <c r="D35" i="5"/>
  <c r="E35" i="5"/>
  <c r="F35" i="5"/>
  <c r="G35" i="5"/>
  <c r="H35" i="5"/>
  <c r="I35" i="5"/>
  <c r="J35" i="5"/>
  <c r="K35" i="5"/>
  <c r="L35" i="5"/>
  <c r="A36" i="5"/>
  <c r="B36" i="5"/>
  <c r="C36" i="5"/>
  <c r="D36" i="5"/>
  <c r="E36" i="5"/>
  <c r="F36" i="5"/>
  <c r="G36" i="5"/>
  <c r="H36" i="5"/>
  <c r="I36" i="5"/>
  <c r="J36" i="5"/>
  <c r="K36" i="5"/>
  <c r="L36" i="5"/>
  <c r="A37" i="5"/>
  <c r="B37" i="5"/>
  <c r="C37" i="5"/>
  <c r="D37" i="5"/>
  <c r="E37" i="5"/>
  <c r="F37" i="5"/>
  <c r="G37" i="5"/>
  <c r="H37" i="5"/>
  <c r="I37" i="5"/>
  <c r="J37" i="5"/>
  <c r="K37" i="5"/>
  <c r="L37" i="5"/>
  <c r="A38" i="5"/>
  <c r="B38" i="5"/>
  <c r="C38" i="5"/>
  <c r="D38" i="5"/>
  <c r="E38" i="5"/>
  <c r="F38" i="5"/>
  <c r="G38" i="5"/>
  <c r="H38" i="5"/>
  <c r="I38" i="5"/>
  <c r="J38" i="5"/>
  <c r="K38" i="5"/>
  <c r="L38" i="5"/>
  <c r="A39" i="5"/>
  <c r="B39" i="5"/>
  <c r="C39" i="5"/>
  <c r="D39" i="5"/>
  <c r="E39" i="5"/>
  <c r="F39" i="5"/>
  <c r="G39" i="5"/>
  <c r="H39" i="5"/>
  <c r="I39" i="5"/>
  <c r="J39" i="5"/>
  <c r="K39" i="5"/>
  <c r="L39" i="5"/>
  <c r="A40" i="5"/>
  <c r="B40" i="5"/>
  <c r="C40" i="5"/>
  <c r="D40" i="5"/>
  <c r="E40" i="5"/>
  <c r="F40" i="5"/>
  <c r="G40" i="5"/>
  <c r="H40" i="5"/>
  <c r="I40" i="5"/>
  <c r="J40" i="5"/>
  <c r="K40" i="5"/>
  <c r="L40" i="5"/>
  <c r="A41" i="5"/>
  <c r="B41" i="5"/>
  <c r="C41" i="5"/>
  <c r="D41" i="5"/>
  <c r="E41" i="5"/>
  <c r="F41" i="5"/>
  <c r="I41" i="5" s="1"/>
  <c r="A42" i="5"/>
  <c r="B42" i="5"/>
  <c r="C42" i="5"/>
  <c r="D42" i="5"/>
  <c r="E42" i="5"/>
  <c r="F42" i="5"/>
  <c r="G42" i="5"/>
  <c r="J42" i="5" s="1"/>
  <c r="H42" i="5"/>
  <c r="K42" i="5" s="1"/>
  <c r="I42" i="5"/>
  <c r="A43" i="5"/>
  <c r="B43" i="5"/>
  <c r="C43" i="5"/>
  <c r="D43" i="5"/>
  <c r="E43" i="5"/>
  <c r="F43" i="5"/>
  <c r="G43" i="5"/>
  <c r="H43" i="5"/>
  <c r="I43" i="5"/>
  <c r="J43" i="5"/>
  <c r="K43" i="5"/>
  <c r="L43" i="5"/>
  <c r="A44" i="5"/>
  <c r="B44" i="5"/>
  <c r="C44" i="5"/>
  <c r="D44" i="5"/>
  <c r="E44" i="5"/>
  <c r="F44" i="5"/>
  <c r="G44" i="5"/>
  <c r="H44" i="5"/>
  <c r="I44" i="5"/>
  <c r="J44" i="5"/>
  <c r="K44" i="5"/>
  <c r="L44" i="5"/>
  <c r="A45" i="5"/>
  <c r="B45" i="5"/>
  <c r="C45" i="5"/>
  <c r="D45" i="5"/>
  <c r="E45" i="5"/>
  <c r="F45" i="5"/>
  <c r="G45" i="5"/>
  <c r="H45" i="5"/>
  <c r="I45" i="5"/>
  <c r="J45" i="5"/>
  <c r="K45" i="5"/>
  <c r="L45" i="5"/>
  <c r="A46" i="5"/>
  <c r="B46" i="5"/>
  <c r="C46" i="5"/>
  <c r="D46" i="5"/>
  <c r="E46" i="5"/>
  <c r="F46" i="5"/>
  <c r="G46" i="5"/>
  <c r="H46" i="5"/>
  <c r="I46" i="5"/>
  <c r="J46" i="5"/>
  <c r="K46" i="5"/>
  <c r="L46" i="5"/>
  <c r="A47" i="5"/>
  <c r="B47" i="5"/>
  <c r="C47" i="5"/>
  <c r="D47" i="5"/>
  <c r="E47" i="5"/>
  <c r="F47" i="5"/>
  <c r="G47" i="5"/>
  <c r="H47" i="5"/>
  <c r="K47" i="5" s="1"/>
  <c r="L47" i="5" s="1"/>
  <c r="I47" i="5"/>
  <c r="J47" i="5"/>
  <c r="A48" i="5"/>
  <c r="B48" i="5"/>
  <c r="C48" i="5"/>
  <c r="D48" i="5"/>
  <c r="E48" i="5"/>
  <c r="F48" i="5"/>
  <c r="G48" i="5"/>
  <c r="H48" i="5"/>
  <c r="I48" i="5"/>
  <c r="J48" i="5"/>
  <c r="K48" i="5"/>
  <c r="L48" i="5"/>
  <c r="A49" i="5"/>
  <c r="B49" i="5"/>
  <c r="C49" i="5"/>
  <c r="D49" i="5"/>
  <c r="E49" i="5"/>
  <c r="F49" i="5"/>
  <c r="G49" i="5"/>
  <c r="H49" i="5"/>
  <c r="I49" i="5"/>
  <c r="J49" i="5"/>
  <c r="K49" i="5"/>
  <c r="L49" i="5"/>
  <c r="A50" i="5"/>
  <c r="B50" i="5"/>
  <c r="C50" i="5"/>
  <c r="D50" i="5"/>
  <c r="E50" i="5"/>
  <c r="F50" i="5"/>
  <c r="G50" i="5"/>
  <c r="H50" i="5"/>
  <c r="I50" i="5"/>
  <c r="J50" i="5"/>
  <c r="K50" i="5"/>
  <c r="L50" i="5"/>
  <c r="A51" i="5"/>
  <c r="B51" i="5"/>
  <c r="C51" i="5"/>
  <c r="D51" i="5"/>
  <c r="E51" i="5"/>
  <c r="F51" i="5"/>
  <c r="G51" i="5"/>
  <c r="H51" i="5"/>
  <c r="I51" i="5"/>
  <c r="J51" i="5"/>
  <c r="K51" i="5"/>
  <c r="L51" i="5"/>
  <c r="A52" i="5"/>
  <c r="B52" i="5"/>
  <c r="C52" i="5"/>
  <c r="D52" i="5"/>
  <c r="E52" i="5"/>
  <c r="F52" i="5"/>
  <c r="G52" i="5"/>
  <c r="H52" i="5"/>
  <c r="I52" i="5"/>
  <c r="J52" i="5"/>
  <c r="K52" i="5"/>
  <c r="L52" i="5"/>
  <c r="A53" i="5"/>
  <c r="B53" i="5"/>
  <c r="C53" i="5"/>
  <c r="D53" i="5"/>
  <c r="E53" i="5"/>
  <c r="F53" i="5"/>
  <c r="G53" i="5"/>
  <c r="H53" i="5"/>
  <c r="I53" i="5"/>
  <c r="J53" i="5"/>
  <c r="K53" i="5"/>
  <c r="L53" i="5"/>
  <c r="A54" i="5"/>
  <c r="B54" i="5"/>
  <c r="C54" i="5"/>
  <c r="D54" i="5"/>
  <c r="E54" i="5"/>
  <c r="A55" i="5"/>
  <c r="B55" i="5"/>
  <c r="C55" i="5"/>
  <c r="D55" i="5"/>
  <c r="E55" i="5"/>
  <c r="F55" i="5"/>
  <c r="G55" i="5"/>
  <c r="H55" i="5"/>
  <c r="I55" i="5"/>
  <c r="J55" i="5"/>
  <c r="K55" i="5"/>
  <c r="L55" i="5"/>
  <c r="A56" i="5"/>
  <c r="B56" i="5"/>
  <c r="C56" i="5"/>
  <c r="D56" i="5"/>
  <c r="E56" i="5"/>
  <c r="F56" i="5"/>
  <c r="G56" i="5"/>
  <c r="H56" i="5"/>
  <c r="I56" i="5"/>
  <c r="J56" i="5"/>
  <c r="K56" i="5"/>
  <c r="L56" i="5"/>
  <c r="A57" i="5"/>
  <c r="B57" i="5"/>
  <c r="C57" i="5"/>
  <c r="D57" i="5"/>
  <c r="E57" i="5"/>
  <c r="F57" i="5"/>
  <c r="G57" i="5"/>
  <c r="H57" i="5"/>
  <c r="I57" i="5"/>
  <c r="J57" i="5"/>
  <c r="K57" i="5"/>
  <c r="L57" i="5"/>
  <c r="A58" i="5"/>
  <c r="B58" i="5"/>
  <c r="C58" i="5"/>
  <c r="D58" i="5"/>
  <c r="E58" i="5"/>
  <c r="F58" i="5"/>
  <c r="G58" i="5"/>
  <c r="H58" i="5"/>
  <c r="I58" i="5"/>
  <c r="J58" i="5"/>
  <c r="K58" i="5"/>
  <c r="L58" i="5"/>
  <c r="A59" i="5"/>
  <c r="B59" i="5"/>
  <c r="C59" i="5"/>
  <c r="D59" i="5"/>
  <c r="E59" i="5"/>
  <c r="F59" i="5"/>
  <c r="G59" i="5"/>
  <c r="H59" i="5"/>
  <c r="I59" i="5"/>
  <c r="J59" i="5"/>
  <c r="K59" i="5"/>
  <c r="L59" i="5"/>
  <c r="A60" i="5"/>
  <c r="B60" i="5"/>
  <c r="C60" i="5"/>
  <c r="D60" i="5"/>
  <c r="E60" i="5"/>
  <c r="F60" i="5"/>
  <c r="G60" i="5"/>
  <c r="H60" i="5"/>
  <c r="I60" i="5"/>
  <c r="J60" i="5"/>
  <c r="K60" i="5"/>
  <c r="L60" i="5"/>
  <c r="A61" i="5"/>
  <c r="B61" i="5"/>
  <c r="C61" i="5"/>
  <c r="D61" i="5"/>
  <c r="E61" i="5"/>
  <c r="F61" i="5"/>
  <c r="G61" i="5"/>
  <c r="H61" i="5"/>
  <c r="I61" i="5"/>
  <c r="J61" i="5"/>
  <c r="K61" i="5"/>
  <c r="L61" i="5"/>
  <c r="A62" i="5"/>
  <c r="B62" i="5"/>
  <c r="C62" i="5"/>
  <c r="D62" i="5"/>
  <c r="E62" i="5"/>
  <c r="F62" i="5"/>
  <c r="I62" i="5" s="1"/>
  <c r="L62" i="5" s="1"/>
  <c r="G62" i="5"/>
  <c r="H62" i="5"/>
  <c r="J62" i="5"/>
  <c r="K62" i="5"/>
  <c r="A63" i="5"/>
  <c r="B63" i="5"/>
  <c r="C63" i="5"/>
  <c r="D63" i="5"/>
  <c r="E63" i="5"/>
  <c r="F63" i="5"/>
  <c r="G63" i="5"/>
  <c r="H63" i="5"/>
  <c r="I63" i="5"/>
  <c r="J63" i="5"/>
  <c r="K63" i="5"/>
  <c r="L63" i="5"/>
  <c r="A64" i="5"/>
  <c r="B64" i="5"/>
  <c r="C64" i="5"/>
  <c r="D64" i="5"/>
  <c r="E64" i="5"/>
  <c r="F64" i="5"/>
  <c r="G64" i="5"/>
  <c r="H64" i="5"/>
  <c r="I64" i="5"/>
  <c r="J64" i="5"/>
  <c r="K64" i="5"/>
  <c r="L64" i="5"/>
  <c r="A65" i="5"/>
  <c r="B65" i="5"/>
  <c r="C65" i="5"/>
  <c r="D65" i="5"/>
  <c r="E65" i="5"/>
  <c r="F65" i="5"/>
  <c r="G65" i="5"/>
  <c r="H65" i="5"/>
  <c r="I65" i="5"/>
  <c r="J65" i="5"/>
  <c r="K65" i="5"/>
  <c r="L65" i="5"/>
  <c r="A66" i="5"/>
  <c r="B66" i="5"/>
  <c r="C66" i="5"/>
  <c r="D66" i="5"/>
  <c r="E66" i="5"/>
  <c r="F66" i="5"/>
  <c r="G66" i="5"/>
  <c r="H66" i="5"/>
  <c r="I66" i="5"/>
  <c r="J66" i="5"/>
  <c r="K66" i="5"/>
  <c r="L66" i="5"/>
  <c r="A67" i="5"/>
  <c r="B67" i="5"/>
  <c r="C67" i="5"/>
  <c r="D67" i="5"/>
  <c r="E67" i="5"/>
  <c r="A68" i="5"/>
  <c r="B68" i="5"/>
  <c r="C68" i="5"/>
  <c r="D68" i="5"/>
  <c r="E68" i="5"/>
  <c r="F68" i="5"/>
  <c r="G68" i="5"/>
  <c r="H68" i="5"/>
  <c r="I68" i="5"/>
  <c r="J68" i="5"/>
  <c r="K68" i="5"/>
  <c r="L68" i="5"/>
  <c r="A69" i="5"/>
  <c r="B69" i="5"/>
  <c r="C69" i="5"/>
  <c r="D69" i="5"/>
  <c r="E69" i="5"/>
  <c r="F69" i="5"/>
  <c r="G69" i="5"/>
  <c r="H69" i="5"/>
  <c r="I69" i="5"/>
  <c r="J69" i="5"/>
  <c r="K69" i="5"/>
  <c r="L69" i="5"/>
  <c r="A70" i="5"/>
  <c r="B70" i="5"/>
  <c r="C70" i="5"/>
  <c r="D70" i="5"/>
  <c r="E70" i="5"/>
  <c r="F70" i="5"/>
  <c r="G70" i="5"/>
  <c r="H70" i="5"/>
  <c r="I70" i="5"/>
  <c r="J70" i="5"/>
  <c r="K70" i="5"/>
  <c r="L70" i="5"/>
  <c r="A71" i="5"/>
  <c r="B71" i="5"/>
  <c r="C71" i="5"/>
  <c r="D71" i="5"/>
  <c r="E71" i="5"/>
  <c r="F71" i="5"/>
  <c r="G71" i="5"/>
  <c r="H71" i="5"/>
  <c r="I71" i="5"/>
  <c r="J71" i="5"/>
  <c r="K71" i="5"/>
  <c r="L71" i="5"/>
  <c r="A72" i="5"/>
  <c r="B72" i="5"/>
  <c r="C72" i="5"/>
  <c r="D72" i="5"/>
  <c r="E72" i="5"/>
  <c r="F72" i="5"/>
  <c r="G72" i="5"/>
  <c r="H72" i="5"/>
  <c r="I72" i="5"/>
  <c r="J72" i="5"/>
  <c r="K72" i="5"/>
  <c r="L72" i="5"/>
  <c r="A73" i="5"/>
  <c r="B73" i="5"/>
  <c r="C73" i="5"/>
  <c r="D73" i="5"/>
  <c r="E73" i="5"/>
  <c r="F73" i="5"/>
  <c r="G73" i="5"/>
  <c r="H73" i="5"/>
  <c r="I73" i="5"/>
  <c r="J73" i="5"/>
  <c r="K73" i="5"/>
  <c r="L73" i="5"/>
  <c r="A74" i="5"/>
  <c r="B74" i="5"/>
  <c r="C74" i="5"/>
  <c r="D74" i="5"/>
  <c r="E74" i="5"/>
  <c r="F74" i="5"/>
  <c r="G74" i="5"/>
  <c r="H74" i="5"/>
  <c r="I74" i="5"/>
  <c r="J74" i="5"/>
  <c r="K74" i="5"/>
  <c r="L74" i="5"/>
  <c r="A75" i="5"/>
  <c r="B75" i="5"/>
  <c r="C75" i="5"/>
  <c r="D75" i="5"/>
  <c r="E75" i="5"/>
  <c r="F75" i="5"/>
  <c r="G75" i="5"/>
  <c r="H75" i="5"/>
  <c r="I75" i="5"/>
  <c r="J75" i="5"/>
  <c r="K75" i="5"/>
  <c r="L75" i="5"/>
  <c r="A76" i="5"/>
  <c r="B76" i="5"/>
  <c r="C76" i="5"/>
  <c r="D76" i="5"/>
  <c r="E76" i="5"/>
  <c r="F76" i="5"/>
  <c r="G76" i="5"/>
  <c r="H76" i="5"/>
  <c r="I76" i="5"/>
  <c r="J76" i="5"/>
  <c r="K76" i="5"/>
  <c r="L76" i="5"/>
  <c r="A77" i="5"/>
  <c r="B77" i="5"/>
  <c r="C77" i="5"/>
  <c r="D77" i="5"/>
  <c r="E77" i="5"/>
  <c r="F77" i="5"/>
  <c r="G77" i="5"/>
  <c r="H77" i="5"/>
  <c r="I77" i="5"/>
  <c r="J77" i="5"/>
  <c r="K77" i="5"/>
  <c r="L77" i="5"/>
  <c r="A78" i="5"/>
  <c r="B78" i="5"/>
  <c r="C78" i="5"/>
  <c r="D78" i="5"/>
  <c r="E78" i="5"/>
  <c r="F78" i="5"/>
  <c r="G78" i="5"/>
  <c r="H78" i="5"/>
  <c r="I78" i="5"/>
  <c r="J78" i="5"/>
  <c r="K78" i="5"/>
  <c r="L78" i="5"/>
  <c r="A79" i="5"/>
  <c r="B79" i="5"/>
  <c r="C79" i="5"/>
  <c r="D79" i="5"/>
  <c r="E79" i="5"/>
  <c r="F79" i="5"/>
  <c r="G79" i="5"/>
  <c r="H79" i="5"/>
  <c r="I79" i="5"/>
  <c r="J79" i="5"/>
  <c r="K79" i="5"/>
  <c r="L79" i="5"/>
  <c r="A80" i="5"/>
  <c r="B80" i="5"/>
  <c r="C80" i="5"/>
  <c r="D80" i="5"/>
  <c r="E80" i="5"/>
  <c r="F80" i="5"/>
  <c r="G80" i="5"/>
  <c r="H80" i="5"/>
  <c r="I80" i="5"/>
  <c r="J80" i="5"/>
  <c r="K80" i="5"/>
  <c r="L80" i="5"/>
  <c r="A81" i="5"/>
  <c r="B81" i="5"/>
  <c r="C81" i="5"/>
  <c r="D81" i="5"/>
  <c r="E81" i="5"/>
  <c r="F81" i="5"/>
  <c r="G81" i="5"/>
  <c r="H81" i="5"/>
  <c r="I81" i="5"/>
  <c r="J81" i="5"/>
  <c r="K81" i="5"/>
  <c r="L81" i="5"/>
  <c r="A82" i="5"/>
  <c r="B82" i="5"/>
  <c r="C82" i="5"/>
  <c r="D82" i="5"/>
  <c r="E82" i="5"/>
  <c r="F82" i="5"/>
  <c r="G82" i="5"/>
  <c r="J82" i="5" s="1"/>
  <c r="H82" i="5"/>
  <c r="K82" i="5" s="1"/>
  <c r="I82" i="5"/>
  <c r="A83" i="5"/>
  <c r="B83" i="5"/>
  <c r="C83" i="5"/>
  <c r="D83" i="5"/>
  <c r="E83" i="5"/>
  <c r="F83" i="5"/>
  <c r="G83" i="5"/>
  <c r="H83" i="5"/>
  <c r="I83" i="5"/>
  <c r="J83" i="5"/>
  <c r="K83" i="5"/>
  <c r="L83" i="5"/>
  <c r="A84" i="5"/>
  <c r="B84" i="5"/>
  <c r="C84" i="5"/>
  <c r="D84" i="5"/>
  <c r="E84" i="5"/>
  <c r="F84" i="5"/>
  <c r="G84" i="5"/>
  <c r="H84" i="5"/>
  <c r="I84" i="5"/>
  <c r="J84" i="5"/>
  <c r="K84" i="5"/>
  <c r="L84" i="5"/>
  <c r="A85" i="5"/>
  <c r="B85" i="5"/>
  <c r="C85" i="5"/>
  <c r="D85" i="5"/>
  <c r="E85" i="5"/>
  <c r="F85" i="5"/>
  <c r="G85" i="5"/>
  <c r="H85" i="5"/>
  <c r="I85" i="5"/>
  <c r="J85" i="5"/>
  <c r="K85" i="5"/>
  <c r="L85" i="5"/>
  <c r="A86" i="5"/>
  <c r="B86" i="5"/>
  <c r="C86" i="5"/>
  <c r="D86" i="5"/>
  <c r="E86" i="5"/>
  <c r="F86" i="5"/>
  <c r="G86" i="5"/>
  <c r="H86" i="5"/>
  <c r="I86" i="5"/>
  <c r="J86" i="5"/>
  <c r="K86" i="5"/>
  <c r="L86" i="5"/>
  <c r="A87" i="5"/>
  <c r="B87" i="5"/>
  <c r="C87" i="5"/>
  <c r="D87" i="5"/>
  <c r="E87" i="5"/>
  <c r="F87" i="5"/>
  <c r="G87" i="5"/>
  <c r="H87" i="5"/>
  <c r="I87" i="5"/>
  <c r="J87" i="5"/>
  <c r="K87" i="5"/>
  <c r="L87" i="5"/>
  <c r="A88" i="5"/>
  <c r="B88" i="5"/>
  <c r="C88" i="5"/>
  <c r="D88" i="5"/>
  <c r="E88" i="5"/>
  <c r="F88" i="5"/>
  <c r="G88" i="5"/>
  <c r="H88" i="5"/>
  <c r="I88" i="5"/>
  <c r="J88" i="5"/>
  <c r="K88" i="5"/>
  <c r="L88" i="5"/>
  <c r="A89" i="5"/>
  <c r="B89" i="5"/>
  <c r="C89" i="5"/>
  <c r="D89" i="5"/>
  <c r="E89" i="5"/>
  <c r="F89" i="5"/>
  <c r="G89" i="5"/>
  <c r="H89" i="5"/>
  <c r="I89" i="5"/>
  <c r="J89" i="5"/>
  <c r="K89" i="5"/>
  <c r="L89" i="5"/>
  <c r="A90" i="5"/>
  <c r="B90" i="5"/>
  <c r="C90" i="5"/>
  <c r="D90" i="5"/>
  <c r="E90" i="5"/>
  <c r="F90" i="5"/>
  <c r="G90" i="5"/>
  <c r="H90" i="5"/>
  <c r="I90" i="5"/>
  <c r="J90" i="5"/>
  <c r="K90" i="5"/>
  <c r="L90" i="5"/>
  <c r="A91" i="5"/>
  <c r="B91" i="5"/>
  <c r="C91" i="5"/>
  <c r="D91" i="5"/>
  <c r="E91" i="5"/>
  <c r="F91" i="5"/>
  <c r="G91" i="5"/>
  <c r="H91" i="5"/>
  <c r="I91" i="5"/>
  <c r="J91" i="5"/>
  <c r="K91" i="5"/>
  <c r="L91" i="5"/>
  <c r="A92" i="5"/>
  <c r="B92" i="5"/>
  <c r="C92" i="5"/>
  <c r="D92" i="5"/>
  <c r="E92" i="5"/>
  <c r="F92" i="5"/>
  <c r="G92" i="5"/>
  <c r="H92" i="5"/>
  <c r="K92" i="5" s="1"/>
  <c r="I92" i="5"/>
  <c r="L92" i="5" s="1"/>
  <c r="J92" i="5"/>
  <c r="A93" i="5"/>
  <c r="B93" i="5"/>
  <c r="C93" i="5"/>
  <c r="D93" i="5"/>
  <c r="E93" i="5"/>
  <c r="F93" i="5"/>
  <c r="G93" i="5"/>
  <c r="H93" i="5"/>
  <c r="I93" i="5"/>
  <c r="J93" i="5"/>
  <c r="K93" i="5"/>
  <c r="L93" i="5"/>
  <c r="A94" i="5"/>
  <c r="B94" i="5"/>
  <c r="C94" i="5"/>
  <c r="D94" i="5"/>
  <c r="E94" i="5"/>
  <c r="F94" i="5"/>
  <c r="G94" i="5"/>
  <c r="H94" i="5"/>
  <c r="I94" i="5"/>
  <c r="J94" i="5"/>
  <c r="K94" i="5"/>
  <c r="L94" i="5"/>
  <c r="A95" i="5"/>
  <c r="B95" i="5"/>
  <c r="C95" i="5"/>
  <c r="D95" i="5"/>
  <c r="E95" i="5"/>
  <c r="F95" i="5"/>
  <c r="G95" i="5"/>
  <c r="H95" i="5"/>
  <c r="I95" i="5"/>
  <c r="J95" i="5"/>
  <c r="K95" i="5"/>
  <c r="L95" i="5"/>
  <c r="A96" i="5"/>
  <c r="B96" i="5"/>
  <c r="C96" i="5"/>
  <c r="D96" i="5"/>
  <c r="E96" i="5"/>
  <c r="F96" i="5"/>
  <c r="G96" i="5"/>
  <c r="H96" i="5"/>
  <c r="I96" i="5"/>
  <c r="J96" i="5"/>
  <c r="K96" i="5"/>
  <c r="L96" i="5"/>
  <c r="A97" i="5"/>
  <c r="B97" i="5"/>
  <c r="C97" i="5"/>
  <c r="D97" i="5"/>
  <c r="E97" i="5"/>
  <c r="F97" i="5"/>
  <c r="G97" i="5"/>
  <c r="H97" i="5"/>
  <c r="I97" i="5"/>
  <c r="J97" i="5"/>
  <c r="K97" i="5"/>
  <c r="L97" i="5"/>
  <c r="A98" i="5"/>
  <c r="B98" i="5"/>
  <c r="C98" i="5"/>
  <c r="D98" i="5"/>
  <c r="E98" i="5"/>
  <c r="F98" i="5"/>
  <c r="G98" i="5"/>
  <c r="H98" i="5"/>
  <c r="I98" i="5"/>
  <c r="J98" i="5"/>
  <c r="K98" i="5"/>
  <c r="L98" i="5"/>
  <c r="A99" i="5"/>
  <c r="B99" i="5"/>
  <c r="C99" i="5"/>
  <c r="D99" i="5"/>
  <c r="E99" i="5"/>
  <c r="F99" i="5"/>
  <c r="G99" i="5"/>
  <c r="H99" i="5"/>
  <c r="I99" i="5"/>
  <c r="J99" i="5"/>
  <c r="K99" i="5"/>
  <c r="L99" i="5"/>
  <c r="A100" i="5"/>
  <c r="B100" i="5"/>
  <c r="C100" i="5"/>
  <c r="D100" i="5"/>
  <c r="E100" i="5"/>
  <c r="F100" i="5"/>
  <c r="G100" i="5"/>
  <c r="H100" i="5"/>
  <c r="I100" i="5"/>
  <c r="J100" i="5"/>
  <c r="K100" i="5"/>
  <c r="L100" i="5"/>
  <c r="A101" i="5"/>
  <c r="B101" i="5"/>
  <c r="C101" i="5"/>
  <c r="D101" i="5"/>
  <c r="E101" i="5"/>
  <c r="F101" i="5"/>
  <c r="G101" i="5"/>
  <c r="H101" i="5"/>
  <c r="I101" i="5"/>
  <c r="J101" i="5"/>
  <c r="K101" i="5"/>
  <c r="L101" i="5"/>
  <c r="B2" i="5"/>
  <c r="C2" i="5"/>
  <c r="D2" i="5"/>
  <c r="E2" i="5"/>
  <c r="A2" i="5"/>
  <c r="G41" i="5" l="1"/>
  <c r="J41" i="5" s="1"/>
  <c r="L41" i="5" s="1"/>
  <c r="H41" i="5"/>
  <c r="K41" i="5" s="1"/>
  <c r="H54" i="5"/>
  <c r="K54" i="5" s="1"/>
  <c r="G54" i="5"/>
  <c r="J54" i="5" s="1"/>
  <c r="F54" i="5"/>
  <c r="I54" i="5" s="1"/>
  <c r="L54" i="5" s="1"/>
  <c r="G67" i="5"/>
  <c r="J67" i="5" s="1"/>
  <c r="H67" i="5"/>
  <c r="K67" i="5" s="1"/>
  <c r="F67" i="5"/>
  <c r="I67" i="5" s="1"/>
  <c r="L67" i="5" s="1"/>
  <c r="L82" i="5"/>
  <c r="L28" i="5"/>
  <c r="L42" i="5"/>
  <c r="H2" i="5"/>
  <c r="K2" i="5" s="1"/>
  <c r="G2" i="5"/>
  <c r="J2" i="5" s="1"/>
  <c r="F2" i="5"/>
  <c r="I2" i="5" s="1"/>
  <c r="L2" i="5" s="1"/>
  <c r="B18" i="3" l="1"/>
  <c r="B9" i="3"/>
</calcChain>
</file>

<file path=xl/sharedStrings.xml><?xml version="1.0" encoding="utf-8"?>
<sst xmlns="http://schemas.openxmlformats.org/spreadsheetml/2006/main" count="1429" uniqueCount="502">
  <si>
    <t>Trade_ID</t>
  </si>
  <si>
    <t>Trade_Date</t>
  </si>
  <si>
    <t>Security</t>
  </si>
  <si>
    <t>Side</t>
  </si>
  <si>
    <t>Qauntity</t>
  </si>
  <si>
    <t>Settlement_Date</t>
  </si>
  <si>
    <t>Status</t>
  </si>
  <si>
    <t>TR001</t>
  </si>
  <si>
    <t>AAPL</t>
  </si>
  <si>
    <t>Buy</t>
  </si>
  <si>
    <t>Settled</t>
  </si>
  <si>
    <t>TR002</t>
  </si>
  <si>
    <t>MSFT</t>
  </si>
  <si>
    <t>Sell</t>
  </si>
  <si>
    <t>TR003</t>
  </si>
  <si>
    <t>GOOGL</t>
  </si>
  <si>
    <t>TR004</t>
  </si>
  <si>
    <t>TSLA</t>
  </si>
  <si>
    <t>TR005</t>
  </si>
  <si>
    <t>JPM</t>
  </si>
  <si>
    <t>TR006</t>
  </si>
  <si>
    <t>NVDA</t>
  </si>
  <si>
    <t>Pending</t>
  </si>
  <si>
    <t>TR007</t>
  </si>
  <si>
    <t>META</t>
  </si>
  <si>
    <t>TR008</t>
  </si>
  <si>
    <t>AMZN</t>
  </si>
  <si>
    <t>TR009</t>
  </si>
  <si>
    <t>BRK.B</t>
  </si>
  <si>
    <t>TR010</t>
  </si>
  <si>
    <t>V</t>
  </si>
  <si>
    <t>TR011</t>
  </si>
  <si>
    <t>GS</t>
  </si>
  <si>
    <t>TR012</t>
  </si>
  <si>
    <t>NFLX</t>
  </si>
  <si>
    <t>TR013</t>
  </si>
  <si>
    <t>DIS</t>
  </si>
  <si>
    <t>TR014</t>
  </si>
  <si>
    <t>BA</t>
  </si>
  <si>
    <t>TR015</t>
  </si>
  <si>
    <t>ORCL</t>
  </si>
  <si>
    <t>Confirm_ID</t>
  </si>
  <si>
    <t>Quantity</t>
  </si>
  <si>
    <t>Price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</si>
  <si>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</si>
  <si>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</si>
  <si>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</si>
  <si>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</si>
  <si>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</si>
  <si>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</si>
  <si>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</si>
  <si>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</si>
  <si>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</si>
  <si>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</si>
  <si>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BR012</t>
  </si>
  <si>
    <t>BR013</t>
  </si>
  <si>
    <t>BR014</t>
  </si>
  <si>
    <t>BR015</t>
  </si>
  <si>
    <t>BR016</t>
  </si>
  <si>
    <t>CRM</t>
  </si>
  <si>
    <t>Int_Qty</t>
  </si>
  <si>
    <t>Int_Price</t>
  </si>
  <si>
    <t>Int_Status</t>
  </si>
  <si>
    <t>Broker_Qty</t>
  </si>
  <si>
    <t>Broker_Price</t>
  </si>
  <si>
    <t>Broker_Status</t>
  </si>
  <si>
    <t>Qty_Match</t>
  </si>
  <si>
    <t>Price_Match</t>
  </si>
  <si>
    <t>Status_Match</t>
  </si>
  <si>
    <t>Break_Type</t>
  </si>
  <si>
    <t>TRADE RECONCILIATION DASHBOARD</t>
  </si>
  <si>
    <t>Total Trades:</t>
  </si>
  <si>
    <t>Clean Trades (OK):</t>
  </si>
  <si>
    <t>Total Breaks:</t>
  </si>
  <si>
    <t>BREAK BREAKDOWN:</t>
  </si>
  <si>
    <t>Quantity Breaks:</t>
  </si>
  <si>
    <t>Price Breaks:</t>
  </si>
  <si>
    <t>Status Breaks:</t>
  </si>
  <si>
    <t>Missing Trades:</t>
  </si>
  <si>
    <t>Multiple Breaks:</t>
  </si>
  <si>
    <t>Reconciliation Rate:</t>
  </si>
  <si>
    <t>Full_Name</t>
  </si>
  <si>
    <t>Sector</t>
  </si>
  <si>
    <t>Exchange</t>
  </si>
  <si>
    <t>Currency</t>
  </si>
  <si>
    <t>Apple Inc.</t>
  </si>
  <si>
    <t>Technology</t>
  </si>
  <si>
    <t>NASDAQ</t>
  </si>
  <si>
    <t>USD</t>
  </si>
  <si>
    <t>Microsoft Corporation</t>
  </si>
  <si>
    <t>Alphabet Inc.</t>
  </si>
  <si>
    <t>Tesla Inc.</t>
  </si>
  <si>
    <t>Automotive</t>
  </si>
  <si>
    <t>JPMorgan Chase &amp; Co.</t>
  </si>
  <si>
    <t>Financials</t>
  </si>
  <si>
    <t>NYSE</t>
  </si>
  <si>
    <t>NVIDIA Corporation</t>
  </si>
  <si>
    <t>Meta Platforms Inc.</t>
  </si>
  <si>
    <t>Amazon.com Inc.</t>
  </si>
  <si>
    <t>Consumer</t>
  </si>
  <si>
    <t>Berkshire Hathaway</t>
  </si>
  <si>
    <t>Visa Inc.</t>
  </si>
  <si>
    <t>Goldman Sachs Group</t>
  </si>
  <si>
    <t>Netflix Inc.</t>
  </si>
  <si>
    <t>Walt Disney Company</t>
  </si>
  <si>
    <t>Media</t>
  </si>
  <si>
    <t>Boeing Company</t>
  </si>
  <si>
    <t>Aerospace</t>
  </si>
  <si>
    <t>Oracle Corporation</t>
  </si>
  <si>
    <t>Salesforce Inc.</t>
  </si>
  <si>
    <t>BREAK RESOLUTION GUIDELINES</t>
  </si>
  <si>
    <t>Break Type</t>
  </si>
  <si>
    <t>Resolution Process</t>
  </si>
  <si>
    <t>SLA</t>
  </si>
  <si>
    <t>Escalation</t>
  </si>
  <si>
    <t>QTY BREAK</t>
  </si>
  <si>
    <t>PRICE BREAK</t>
  </si>
  <si>
    <t>STATUS BREAK</t>
  </si>
  <si>
    <t>MISSING TRADE</t>
  </si>
  <si>
    <t>Contact broker operations; verify allocation</t>
  </si>
  <si>
    <t>2 hours</t>
  </si>
  <si>
    <t>Trading desk if unresolved</t>
  </si>
  <si>
    <t>Check execution timestamps; verify avg price</t>
  </si>
  <si>
    <t>Confirm settlement with custodian</t>
  </si>
  <si>
    <t>Request broker confirmation; check cancellations</t>
  </si>
  <si>
    <t>4 hours</t>
  </si>
  <si>
    <t>1 hour</t>
  </si>
  <si>
    <t>Compliance if &gt;0.5% variance</t>
  </si>
  <si>
    <t>Operations manager</t>
  </si>
  <si>
    <t>Trading desk immediately</t>
  </si>
  <si>
    <t>TR016</t>
  </si>
  <si>
    <t>TR017</t>
  </si>
  <si>
    <t>AMD</t>
  </si>
  <si>
    <t>TR018</t>
  </si>
  <si>
    <t>INTC</t>
  </si>
  <si>
    <t>TR019</t>
  </si>
  <si>
    <t>PYPL</t>
  </si>
  <si>
    <t>TR020</t>
  </si>
  <si>
    <t>UBER</t>
  </si>
  <si>
    <t>TR021</t>
  </si>
  <si>
    <t>PFE</t>
  </si>
  <si>
    <t>TR022</t>
  </si>
  <si>
    <t>JNJ</t>
  </si>
  <si>
    <t>TR023</t>
  </si>
  <si>
    <t>XOM</t>
  </si>
  <si>
    <t>TR024</t>
  </si>
  <si>
    <t>CVX</t>
  </si>
  <si>
    <t>TR025</t>
  </si>
  <si>
    <t>WMT</t>
  </si>
  <si>
    <t>TR026</t>
  </si>
  <si>
    <t>HD</t>
  </si>
  <si>
    <t>TR027</t>
  </si>
  <si>
    <t>UNH</t>
  </si>
  <si>
    <t>TR028</t>
  </si>
  <si>
    <t>LLY</t>
  </si>
  <si>
    <t>TR029</t>
  </si>
  <si>
    <t>ABBV</t>
  </si>
  <si>
    <t>TR030</t>
  </si>
  <si>
    <t>PEP</t>
  </si>
  <si>
    <t>TR031</t>
  </si>
  <si>
    <t>KO</t>
  </si>
  <si>
    <t>TR032</t>
  </si>
  <si>
    <t>MCD</t>
  </si>
  <si>
    <t>TR033</t>
  </si>
  <si>
    <t>NKE</t>
  </si>
  <si>
    <t>TR034</t>
  </si>
  <si>
    <t>COST</t>
  </si>
  <si>
    <t>TR035</t>
  </si>
  <si>
    <t>SBUX</t>
  </si>
  <si>
    <t>TR036</t>
  </si>
  <si>
    <t>TGT</t>
  </si>
  <si>
    <t>TR037</t>
  </si>
  <si>
    <t>LOW</t>
  </si>
  <si>
    <t>TR038</t>
  </si>
  <si>
    <t>CAT</t>
  </si>
  <si>
    <t>TR039</t>
  </si>
  <si>
    <t>DE</t>
  </si>
  <si>
    <t>TR040</t>
  </si>
  <si>
    <t>MMM</t>
  </si>
  <si>
    <t>TR041</t>
  </si>
  <si>
    <t>HON</t>
  </si>
  <si>
    <t>TR042</t>
  </si>
  <si>
    <t>RTX</t>
  </si>
  <si>
    <t>TR043</t>
  </si>
  <si>
    <t>LMT</t>
  </si>
  <si>
    <t>TR044</t>
  </si>
  <si>
    <t>GE</t>
  </si>
  <si>
    <t>TR045</t>
  </si>
  <si>
    <t>F</t>
  </si>
  <si>
    <t>TR046</t>
  </si>
  <si>
    <t>GM</t>
  </si>
  <si>
    <t>TR047</t>
  </si>
  <si>
    <t>RIVN</t>
  </si>
  <si>
    <t>TR048</t>
  </si>
  <si>
    <t>LCID</t>
  </si>
  <si>
    <t>TR049</t>
  </si>
  <si>
    <t>NIO</t>
  </si>
  <si>
    <t>TR050</t>
  </si>
  <si>
    <t>XPEV</t>
  </si>
  <si>
    <t>TR051</t>
  </si>
  <si>
    <t>BABA</t>
  </si>
  <si>
    <t>TR052</t>
  </si>
  <si>
    <t>PDD</t>
  </si>
  <si>
    <t>TR053</t>
  </si>
  <si>
    <t>JD</t>
  </si>
  <si>
    <t>TR054</t>
  </si>
  <si>
    <t>TSM</t>
  </si>
  <si>
    <t>TR055</t>
  </si>
  <si>
    <t>ASML</t>
  </si>
  <si>
    <t>TR056</t>
  </si>
  <si>
    <t>SAP</t>
  </si>
  <si>
    <t>TR057</t>
  </si>
  <si>
    <t>SHOP</t>
  </si>
  <si>
    <t>TR058</t>
  </si>
  <si>
    <t>SQ</t>
  </si>
  <si>
    <t>TR059</t>
  </si>
  <si>
    <t>COIN</t>
  </si>
  <si>
    <t>TR060</t>
  </si>
  <si>
    <t>HOOD</t>
  </si>
  <si>
    <t>TR061</t>
  </si>
  <si>
    <t>SNAP</t>
  </si>
  <si>
    <t>TR062</t>
  </si>
  <si>
    <t>PINS</t>
  </si>
  <si>
    <t>TR063</t>
  </si>
  <si>
    <t>TWTR</t>
  </si>
  <si>
    <t>TR064</t>
  </si>
  <si>
    <t>SPOT</t>
  </si>
  <si>
    <t>TR065</t>
  </si>
  <si>
    <t>RBLX</t>
  </si>
  <si>
    <t>TR066</t>
  </si>
  <si>
    <t>U</t>
  </si>
  <si>
    <t>TR067</t>
  </si>
  <si>
    <t>DKNG</t>
  </si>
  <si>
    <t>TR068</t>
  </si>
  <si>
    <t>PENN</t>
  </si>
  <si>
    <t>TR069</t>
  </si>
  <si>
    <t>MGM</t>
  </si>
  <si>
    <t>TR070</t>
  </si>
  <si>
    <t>WYNN</t>
  </si>
  <si>
    <t>TR071</t>
  </si>
  <si>
    <t>MAR</t>
  </si>
  <si>
    <t>TR072</t>
  </si>
  <si>
    <t>HLT</t>
  </si>
  <si>
    <t>TR073</t>
  </si>
  <si>
    <t>IHG</t>
  </si>
  <si>
    <t>TR074</t>
  </si>
  <si>
    <t>ABNB</t>
  </si>
  <si>
    <t>TR075</t>
  </si>
  <si>
    <t>BKNG</t>
  </si>
  <si>
    <t>TR076</t>
  </si>
  <si>
    <t>EXPE</t>
  </si>
  <si>
    <t>TR077</t>
  </si>
  <si>
    <t>TRIP</t>
  </si>
  <si>
    <t>TR078</t>
  </si>
  <si>
    <t>AAL</t>
  </si>
  <si>
    <t>TR079</t>
  </si>
  <si>
    <t>DAL</t>
  </si>
  <si>
    <t>TR080</t>
  </si>
  <si>
    <t>UAL</t>
  </si>
  <si>
    <t>TR081</t>
  </si>
  <si>
    <t>05/13/2026</t>
  </si>
  <si>
    <t>LUV</t>
  </si>
  <si>
    <t>TR082</t>
  </si>
  <si>
    <t>ALK</t>
  </si>
  <si>
    <t>TR083</t>
  </si>
  <si>
    <t>JBLU</t>
  </si>
  <si>
    <t>TR084</t>
  </si>
  <si>
    <t>SAVE</t>
  </si>
  <si>
    <t>TR085</t>
  </si>
  <si>
    <t>HA</t>
  </si>
  <si>
    <t>TR086</t>
  </si>
  <si>
    <t>CCL</t>
  </si>
  <si>
    <t>TR087</t>
  </si>
  <si>
    <t>RCL</t>
  </si>
  <si>
    <t>TR088</t>
  </si>
  <si>
    <t>NCLH</t>
  </si>
  <si>
    <t>TR089</t>
  </si>
  <si>
    <t>CUK</t>
  </si>
  <si>
    <t>TR090</t>
  </si>
  <si>
    <t>PLNT</t>
  </si>
  <si>
    <t>TR091</t>
  </si>
  <si>
    <t>05/14/2026</t>
  </si>
  <si>
    <t>LULU</t>
  </si>
  <si>
    <t>TR092</t>
  </si>
  <si>
    <t>DECK</t>
  </si>
  <si>
    <t>TR093</t>
  </si>
  <si>
    <t>CROX</t>
  </si>
  <si>
    <t>TR094</t>
  </si>
  <si>
    <t>SKX</t>
  </si>
  <si>
    <t>TR095</t>
  </si>
  <si>
    <t>FL</t>
  </si>
  <si>
    <t>TR096</t>
  </si>
  <si>
    <t>FOOT</t>
  </si>
  <si>
    <t>TR097</t>
  </si>
  <si>
    <t>HIBB</t>
  </si>
  <si>
    <t>TR098</t>
  </si>
  <si>
    <t>BOOT</t>
  </si>
  <si>
    <t>TR099</t>
  </si>
  <si>
    <t>WSM</t>
  </si>
  <si>
    <t>TR100</t>
  </si>
  <si>
    <t>RH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</si>
  <si>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</si>
  <si>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</si>
  <si>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</si>
  <si>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</si>
  <si>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</si>
  <si>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</si>
  <si>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</si>
  <si>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</si>
  <si>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</si>
  <si>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</si>
  <si>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BR027</t>
  </si>
  <si>
    <t>BR028</t>
  </si>
  <si>
    <t>BR029</t>
  </si>
  <si>
    <t>BR030</t>
  </si>
  <si>
    <t>BR031</t>
  </si>
  <si>
    <t>BR032</t>
  </si>
  <si>
    <t>BR033</t>
  </si>
  <si>
    <t>BR034</t>
  </si>
  <si>
    <t>BR035</t>
  </si>
  <si>
    <t>BR036</t>
  </si>
  <si>
    <t>BR037</t>
  </si>
  <si>
    <t>BR038</t>
  </si>
  <si>
    <t>BR039</t>
  </si>
  <si>
    <t>BR040</t>
  </si>
  <si>
    <t>BR042</t>
  </si>
  <si>
    <t>BR043</t>
  </si>
  <si>
    <t>BR044</t>
  </si>
  <si>
    <t>BR045</t>
  </si>
  <si>
    <t>BR046</t>
  </si>
  <si>
    <t>BR047</t>
  </si>
  <si>
    <t>BR048</t>
  </si>
  <si>
    <t>BR049</t>
  </si>
  <si>
    <t>BR050</t>
  </si>
  <si>
    <t>BR051</t>
  </si>
  <si>
    <t>BR052</t>
  </si>
  <si>
    <t>BR053</t>
  </si>
  <si>
    <t>BR054</t>
  </si>
  <si>
    <t>BR055</t>
  </si>
  <si>
    <t>BR056</t>
  </si>
  <si>
    <t>BR057</t>
  </si>
  <si>
    <t>BR058</t>
  </si>
  <si>
    <t>BR059</t>
  </si>
  <si>
    <t>BR060</t>
  </si>
  <si>
    <t>BR062</t>
  </si>
  <si>
    <t>BR063</t>
  </si>
  <si>
    <t>BR064</t>
  </si>
  <si>
    <t>BR065</t>
  </si>
  <si>
    <t>BR066</t>
  </si>
  <si>
    <t>BR067</t>
  </si>
  <si>
    <t>BR068</t>
  </si>
  <si>
    <t>BR069</t>
  </si>
  <si>
    <t>BR070</t>
  </si>
  <si>
    <t>BR071</t>
  </si>
  <si>
    <t>BR072</t>
  </si>
  <si>
    <t>BR073</t>
  </si>
  <si>
    <t>BR074</t>
  </si>
  <si>
    <t>BR075</t>
  </si>
  <si>
    <t>BR076</t>
  </si>
  <si>
    <t>BR077</t>
  </si>
  <si>
    <t>BR078</t>
  </si>
  <si>
    <t>BR079</t>
  </si>
  <si>
    <t>BR080</t>
  </si>
  <si>
    <t>BR082</t>
  </si>
  <si>
    <t>BR083</t>
  </si>
  <si>
    <t>BR084</t>
  </si>
  <si>
    <t>BR085</t>
  </si>
  <si>
    <t>BR086</t>
  </si>
  <si>
    <t>BR087</t>
  </si>
  <si>
    <t>BR088</t>
  </si>
  <si>
    <t>BR089</t>
  </si>
  <si>
    <t>BR090</t>
  </si>
  <si>
    <t>BR091</t>
  </si>
  <si>
    <t>BR092</t>
  </si>
  <si>
    <t>BR093</t>
  </si>
  <si>
    <t>BR094</t>
  </si>
  <si>
    <t>BR095</t>
  </si>
  <si>
    <t>BR096</t>
  </si>
  <si>
    <t>BR097</t>
  </si>
  <si>
    <t>BR098</t>
  </si>
  <si>
    <t>BR099</t>
  </si>
  <si>
    <t>BR100</t>
  </si>
  <si>
    <t>BR101</t>
  </si>
  <si>
    <t>PTON</t>
  </si>
  <si>
    <t>BR102</t>
  </si>
  <si>
    <t>ZM</t>
  </si>
  <si>
    <t>Advanced Micro Devices</t>
  </si>
  <si>
    <t>Intel Corporation</t>
  </si>
  <si>
    <t>PayPal Holdings</t>
  </si>
  <si>
    <t>Uber Technologies</t>
  </si>
  <si>
    <t>Pfizer Inc.</t>
  </si>
  <si>
    <t>Healthcare</t>
  </si>
  <si>
    <t>Johnson &amp; Johnson</t>
  </si>
  <si>
    <t>Exxon Mobil</t>
  </si>
  <si>
    <t>Energy</t>
  </si>
  <si>
    <t>Chevron Corporation</t>
  </si>
  <si>
    <t>Walmart Inc.</t>
  </si>
  <si>
    <t>Retail</t>
  </si>
  <si>
    <t>Home Depot</t>
  </si>
  <si>
    <t>UnitedHealth Group</t>
  </si>
  <si>
    <t>Eli Lilly and Company</t>
  </si>
  <si>
    <t>AbbVie Inc.</t>
  </si>
  <si>
    <t>PepsiCo Inc.</t>
  </si>
  <si>
    <t>Coca-Cola Company</t>
  </si>
  <si>
    <t>McDonald's Corporation</t>
  </si>
  <si>
    <t>Nike Inc.</t>
  </si>
  <si>
    <t>Costco Wholesale</t>
  </si>
  <si>
    <t>Starbucks Corporation</t>
  </si>
  <si>
    <t>Target Corporation</t>
  </si>
  <si>
    <t>Lowe's Companies</t>
  </si>
  <si>
    <t>Caterpillar Inc.</t>
  </si>
  <si>
    <t>Industrials</t>
  </si>
  <si>
    <t>Deere &amp; Company</t>
  </si>
  <si>
    <t>3M Company</t>
  </si>
  <si>
    <t>Honeywell International</t>
  </si>
  <si>
    <t>Raytheon Technologies</t>
  </si>
  <si>
    <t>Lockheed Martin</t>
  </si>
  <si>
    <t>General Electric</t>
  </si>
  <si>
    <t>Ford Motor Company</t>
  </si>
  <si>
    <t>General Motors</t>
  </si>
  <si>
    <t>Rivian Automotive</t>
  </si>
  <si>
    <t>Lucid Group Inc.</t>
  </si>
  <si>
    <t>NIO Inc.</t>
  </si>
  <si>
    <t>XPeng Inc.</t>
  </si>
  <si>
    <t>Alibaba Group</t>
  </si>
  <si>
    <t>PDD Holdings</t>
  </si>
  <si>
    <t>JD.com Inc.</t>
  </si>
  <si>
    <t>Taiwan Semiconductor</t>
  </si>
  <si>
    <t>ASML Holding</t>
  </si>
  <si>
    <t>SAP SE</t>
  </si>
  <si>
    <t>Shopify Inc.</t>
  </si>
  <si>
    <t>Block Inc.</t>
  </si>
  <si>
    <t>Coinbase Global</t>
  </si>
  <si>
    <t>Robinhood Markets</t>
  </si>
  <si>
    <t>Snap Inc.</t>
  </si>
  <si>
    <t>Pinterest Inc.</t>
  </si>
  <si>
    <t>Twitter Inc.</t>
  </si>
  <si>
    <t>Spotify Technology</t>
  </si>
  <si>
    <t>Roblox Corporation</t>
  </si>
  <si>
    <t>Unity Software</t>
  </si>
  <si>
    <t>DraftKings Inc.</t>
  </si>
  <si>
    <t>Gaming</t>
  </si>
  <si>
    <t>PENN Entertainment</t>
  </si>
  <si>
    <t>MGM Resorts International</t>
  </si>
  <si>
    <t>Wynn Resorts</t>
  </si>
  <si>
    <t>Marriott International</t>
  </si>
  <si>
    <t>Hospitality</t>
  </si>
  <si>
    <t>Hilton Worldwide</t>
  </si>
  <si>
    <t>InterContinental Hotels</t>
  </si>
  <si>
    <t>Airbnb Inc.</t>
  </si>
  <si>
    <t>Booking Holdings</t>
  </si>
  <si>
    <t>Expedia Group</t>
  </si>
  <si>
    <t>TripAdvisor Inc.</t>
  </si>
  <si>
    <t>American Airlines</t>
  </si>
  <si>
    <t>Airlines</t>
  </si>
  <si>
    <t>Delta Air Lines</t>
  </si>
  <si>
    <t>United Airlines</t>
  </si>
  <si>
    <t>Southwest Airlines</t>
  </si>
  <si>
    <t>Alaska Air Group</t>
  </si>
  <si>
    <t>JetBlue Airways</t>
  </si>
  <si>
    <t>Spirit Airlines</t>
  </si>
  <si>
    <t>Hawaiian Holdings</t>
  </si>
  <si>
    <t>Carnival Corporation</t>
  </si>
  <si>
    <t>Cruise</t>
  </si>
  <si>
    <t>Royal Caribbean</t>
  </si>
  <si>
    <t>Norwegian Cruise Line</t>
  </si>
  <si>
    <t>Carnival PLC</t>
  </si>
  <si>
    <t>Planet Fitness</t>
  </si>
  <si>
    <t>Fitness</t>
  </si>
  <si>
    <t>Lululemon Athletica</t>
  </si>
  <si>
    <t>Apparel</t>
  </si>
  <si>
    <t>Deckers Outdoor</t>
  </si>
  <si>
    <t>Crocs Inc.</t>
  </si>
  <si>
    <t>Skechers USA</t>
  </si>
  <si>
    <t>Foot Locker</t>
  </si>
  <si>
    <t>Foot Locker Inc.</t>
  </si>
  <si>
    <t>Hibbett Sports</t>
  </si>
  <si>
    <t>Boot Barn Holdings</t>
  </si>
  <si>
    <t>Williams-Sonoma</t>
  </si>
  <si>
    <t>RH Inc.</t>
  </si>
  <si>
    <t>Peloton Interactive</t>
  </si>
  <si>
    <t>Zoom Video Communications</t>
  </si>
  <si>
    <t>Created by: Vismay Somi Reddy</t>
  </si>
  <si>
    <t>Date: May 2026</t>
  </si>
  <si>
    <t>Purpose: Fund Operation Trade Reconciliation Framework - Portfolio Project</t>
  </si>
  <si>
    <t>Note: This framework uses sample trade data for demonstration purposes. It models real fund operations reconciliation processes including trade matching, break detection, and exception reporting.</t>
  </si>
  <si>
    <t>FUND OPERATIONS RECONCILIATION FRAMEWORK</t>
  </si>
  <si>
    <t>Author: Vismay Somi Reddy</t>
  </si>
  <si>
    <t>PROJECT OVERVIEW:</t>
  </si>
  <si>
    <t>This Excel-based reconciliation framework demonstrates fund operations processes used in hedge fund middle offices.</t>
  </si>
  <si>
    <t>COMPONENTS:</t>
  </si>
  <si>
    <t>• 100 internal trade records</t>
  </si>
  <si>
    <t>• 98 external broker confirmations</t>
  </si>
  <si>
    <t>• Automated XLOOKUP matching logic</t>
  </si>
  <si>
    <t>• Break detection (Quantity, Price, Status, Missing trades)</t>
  </si>
  <si>
    <t>• Executive dashboard with 82% reconciliation rate</t>
  </si>
  <si>
    <t>• Complete security master data (102 securities)</t>
  </si>
  <si>
    <t>• Break resolution guidelines with SLAs</t>
  </si>
  <si>
    <t>TECHNICAL SKILLS DEMONSTRATED:</t>
  </si>
  <si>
    <t>Excel: XLOOKUP, COUNTIF, Conditional Formatting, Data Validation</t>
  </si>
  <si>
    <t>Fund Operations: Trade lifecycle, NAV calculation, Reconciliation processes</t>
  </si>
  <si>
    <t>Sample data used for demonstration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</si>
</sst>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3"/>
      <name val="Aptos Narrow"/>
      <scheme val="minor"/>
    </font>
    <font>
      <b/>
      <sz val="16"/>
      <color theme="1"/>
      <name val="Aptos Narrow"/>
      <scheme val="minor"/>
    </font>
    <font>
      <b/>
      <sz val="20"/>
      <color theme="9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rgb="FF002060"/>
      <name val="Aptos Narrow"/>
      <scheme val="minor"/>
    </font>
    <font>
      <b/>
      <sz val="16"/>
      <color theme="6"/>
      <name val="Aptos Narrow"/>
      <scheme val="minor"/>
    </font>
    <font>
      <b/>
      <sz val="16"/>
      <color rgb="FFC00000"/>
      <name val="Aptos Narrow"/>
      <scheme val="minor"/>
    </font>
    <font>
      <b/>
      <sz val="14"/>
      <color theme="0"/>
      <name val="Aptos Narrow"/>
      <scheme val="minor"/>
    </font>
    <font>
      <b/>
      <sz val="16"/>
      <color theme="0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1" tint="0.249977111117893"/>
      <name val="Aptos Narrow"/>
      <scheme val="minor"/>
    </font>
    <font>
      <i/>
      <sz val="12"/>
      <color theme="1" tint="0.249977111117893"/>
      <name val="Aptos Narrow (Body)"/>
    </font>
    <font>
      <b/>
      <sz val="18"/>
      <color rgb="FF002060"/>
      <name val="Aptos Narrow"/>
      <scheme val="minor"/>
    </font>
    <font>
      <i/>
      <sz val="12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2" xfId="0" applyFont="1" applyBorder="1"/>
    <xf numFmtId="0" fontId="8" fillId="2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0" fillId="0" borderId="2" xfId="0" applyBorder="1"/>
    <xf numFmtId="0" fontId="6" fillId="0" borderId="2" xfId="0" applyFont="1" applyBorder="1"/>
    <xf numFmtId="0" fontId="7" fillId="0" borderId="2" xfId="0" applyFont="1" applyBorder="1"/>
    <xf numFmtId="0" fontId="5" fillId="0" borderId="3" xfId="0" applyFont="1" applyBorder="1"/>
    <xf numFmtId="0" fontId="4" fillId="0" borderId="4" xfId="0" applyFont="1" applyBorder="1" applyAlignment="1">
      <alignment horizontal="right"/>
    </xf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1" fillId="5" borderId="0" xfId="0" applyFont="1" applyFill="1" applyAlignment="1">
      <alignment horizontal="right"/>
    </xf>
    <xf numFmtId="0" fontId="12" fillId="5" borderId="0" xfId="0" applyFont="1" applyFill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FA7B-E625-B448-BBD8-04B9A7A796AE}">
  <sheetPr>
    <tabColor rgb="FF92D050"/>
  </sheetPr>
  <dimension ref="A1:A22"/>
  <sheetViews>
    <sheetView showGridLines="0" tabSelected="1" workbookViewId="0">
      <selection activeCell="F16" sqref="F16"/>
    </sheetView>
  </sheetViews>
  <sheetFormatPr baseColWidth="10" defaultRowHeight="16" x14ac:dyDescent="0.2"/>
  <cols>
    <col min="1" max="1" width="97.5" bestFit="1" customWidth="1"/>
  </cols>
  <sheetData>
    <row r="1" spans="1:1" ht="24" x14ac:dyDescent="0.3">
      <c r="A1" s="27" t="s">
        <v>486</v>
      </c>
    </row>
    <row r="3" spans="1:1" x14ac:dyDescent="0.2">
      <c r="A3" s="24" t="s">
        <v>487</v>
      </c>
    </row>
    <row r="4" spans="1:1" x14ac:dyDescent="0.2">
      <c r="A4" s="24" t="s">
        <v>483</v>
      </c>
    </row>
    <row r="6" spans="1:1" ht="19" x14ac:dyDescent="0.25">
      <c r="A6" s="3" t="s">
        <v>488</v>
      </c>
    </row>
    <row r="7" spans="1:1" x14ac:dyDescent="0.2">
      <c r="A7" t="s">
        <v>489</v>
      </c>
    </row>
    <row r="9" spans="1:1" ht="19" x14ac:dyDescent="0.25">
      <c r="A9" s="3" t="s">
        <v>490</v>
      </c>
    </row>
    <row r="10" spans="1:1" x14ac:dyDescent="0.2">
      <c r="A10" t="s">
        <v>491</v>
      </c>
    </row>
    <row r="11" spans="1:1" x14ac:dyDescent="0.2">
      <c r="A11" t="s">
        <v>492</v>
      </c>
    </row>
    <row r="12" spans="1:1" x14ac:dyDescent="0.2">
      <c r="A12" t="s">
        <v>493</v>
      </c>
    </row>
    <row r="13" spans="1:1" x14ac:dyDescent="0.2">
      <c r="A13" t="s">
        <v>494</v>
      </c>
    </row>
    <row r="14" spans="1:1" x14ac:dyDescent="0.2">
      <c r="A14" t="s">
        <v>495</v>
      </c>
    </row>
    <row r="15" spans="1:1" x14ac:dyDescent="0.2">
      <c r="A15" t="s">
        <v>496</v>
      </c>
    </row>
    <row r="16" spans="1:1" x14ac:dyDescent="0.2">
      <c r="A16" t="s">
        <v>497</v>
      </c>
    </row>
    <row r="18" spans="1:1" ht="19" x14ac:dyDescent="0.25">
      <c r="A18" s="3" t="s">
        <v>498</v>
      </c>
    </row>
    <row r="19" spans="1:1" x14ac:dyDescent="0.2">
      <c r="A19" t="s">
        <v>499</v>
      </c>
    </row>
    <row r="20" spans="1:1" x14ac:dyDescent="0.2">
      <c r="A20" t="s">
        <v>500</v>
      </c>
    </row>
    <row r="22" spans="1:1" x14ac:dyDescent="0.2">
      <c r="A22" s="28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EED3-C2A6-0E40-B721-B85792E10E3F}">
  <sheetPr>
    <tabColor theme="8"/>
  </sheetPr>
  <dimension ref="A1:H101"/>
  <sheetViews>
    <sheetView showGridLines="0" workbookViewId="0">
      <pane ySplit="1" topLeftCell="A2" activePane="bottomLeft" state="frozen"/>
      <selection pane="bottomLeft" activeCell="R12" sqref="R12"/>
    </sheetView>
  </sheetViews>
  <sheetFormatPr baseColWidth="10" defaultRowHeight="16" x14ac:dyDescent="0.2"/>
  <cols>
    <col min="2" max="2" width="13.33203125" customWidth="1"/>
    <col min="3" max="3" width="11.83203125" style="2" customWidth="1"/>
    <col min="4" max="4" width="10.83203125" style="2"/>
    <col min="7" max="7" width="17.33203125" bestFit="1" customWidth="1"/>
    <col min="8" max="8" width="13.1640625" style="2" customWidth="1"/>
    <col min="9" max="9" width="11" customWidth="1"/>
  </cols>
  <sheetData>
    <row r="1" spans="1:8" ht="19" x14ac:dyDescent="0.25">
      <c r="A1" s="16" t="s">
        <v>0</v>
      </c>
      <c r="B1" s="16" t="s">
        <v>1</v>
      </c>
      <c r="C1" s="18" t="s">
        <v>2</v>
      </c>
      <c r="D1" s="18" t="s">
        <v>3</v>
      </c>
      <c r="E1" s="16" t="s">
        <v>4</v>
      </c>
      <c r="F1" s="16" t="s">
        <v>43</v>
      </c>
      <c r="G1" s="16" t="s">
        <v>5</v>
      </c>
      <c r="H1" s="18" t="s">
        <v>6</v>
      </c>
    </row>
    <row r="2" spans="1:8" x14ac:dyDescent="0.2">
      <c r="A2" t="s">
        <v>7</v>
      </c>
      <c r="B2" s="1">
        <v>46027</v>
      </c>
      <c r="C2" s="2" t="s">
        <v>8</v>
      </c>
      <c r="D2" s="2" t="s">
        <v>9</v>
      </c>
      <c r="E2">
        <v>1000</v>
      </c>
      <c r="F2">
        <v>175.5</v>
      </c>
      <c r="G2" s="1">
        <v>46029</v>
      </c>
      <c r="H2" s="2" t="s">
        <v>10</v>
      </c>
    </row>
    <row r="3" spans="1:8" x14ac:dyDescent="0.2">
      <c r="A3" t="s">
        <v>11</v>
      </c>
      <c r="B3" s="1">
        <v>46027</v>
      </c>
      <c r="C3" s="2" t="s">
        <v>12</v>
      </c>
      <c r="D3" s="2" t="s">
        <v>13</v>
      </c>
      <c r="E3">
        <v>500</v>
      </c>
      <c r="F3">
        <v>420.25</v>
      </c>
      <c r="G3" s="1">
        <v>46029</v>
      </c>
      <c r="H3" s="2" t="s">
        <v>10</v>
      </c>
    </row>
    <row r="4" spans="1:8" x14ac:dyDescent="0.2">
      <c r="A4" t="s">
        <v>14</v>
      </c>
      <c r="B4" s="1">
        <v>46027</v>
      </c>
      <c r="C4" s="2" t="s">
        <v>15</v>
      </c>
      <c r="D4" s="2" t="s">
        <v>9</v>
      </c>
      <c r="E4">
        <v>300</v>
      </c>
      <c r="F4">
        <v>142.80000000000001</v>
      </c>
      <c r="G4" s="1">
        <v>46029</v>
      </c>
      <c r="H4" s="2" t="s">
        <v>10</v>
      </c>
    </row>
    <row r="5" spans="1:8" x14ac:dyDescent="0.2">
      <c r="A5" t="s">
        <v>16</v>
      </c>
      <c r="B5" s="1">
        <v>46027</v>
      </c>
      <c r="C5" s="2" t="s">
        <v>17</v>
      </c>
      <c r="D5" s="2" t="s">
        <v>9</v>
      </c>
      <c r="E5">
        <v>750</v>
      </c>
      <c r="F5">
        <v>245.6</v>
      </c>
      <c r="G5" s="1">
        <v>46029</v>
      </c>
      <c r="H5" s="2" t="s">
        <v>10</v>
      </c>
    </row>
    <row r="6" spans="1:8" x14ac:dyDescent="0.2">
      <c r="A6" t="s">
        <v>18</v>
      </c>
      <c r="B6" s="1">
        <v>46027</v>
      </c>
      <c r="C6" s="2" t="s">
        <v>19</v>
      </c>
      <c r="D6" s="2" t="s">
        <v>13</v>
      </c>
      <c r="E6">
        <v>200</v>
      </c>
      <c r="F6">
        <v>158.9</v>
      </c>
      <c r="G6" s="1">
        <v>46029</v>
      </c>
      <c r="H6" s="2" t="s">
        <v>10</v>
      </c>
    </row>
    <row r="7" spans="1:8" x14ac:dyDescent="0.2">
      <c r="A7" t="s">
        <v>20</v>
      </c>
      <c r="B7" s="1">
        <v>46027</v>
      </c>
      <c r="C7" s="2" t="s">
        <v>21</v>
      </c>
      <c r="D7" s="2" t="s">
        <v>9</v>
      </c>
      <c r="E7">
        <v>400</v>
      </c>
      <c r="F7">
        <v>880</v>
      </c>
      <c r="G7" s="1">
        <v>46029</v>
      </c>
      <c r="H7" s="2" t="s">
        <v>10</v>
      </c>
    </row>
    <row r="8" spans="1:8" x14ac:dyDescent="0.2">
      <c r="A8" t="s">
        <v>23</v>
      </c>
      <c r="B8" s="1">
        <v>46027</v>
      </c>
      <c r="C8" s="2" t="s">
        <v>24</v>
      </c>
      <c r="D8" s="2" t="s">
        <v>13</v>
      </c>
      <c r="E8">
        <v>600</v>
      </c>
      <c r="F8">
        <v>485.3</v>
      </c>
      <c r="G8" s="1">
        <v>46029</v>
      </c>
      <c r="H8" s="2" t="s">
        <v>10</v>
      </c>
    </row>
    <row r="9" spans="1:8" x14ac:dyDescent="0.2">
      <c r="A9" t="s">
        <v>25</v>
      </c>
      <c r="B9" s="1">
        <v>46027</v>
      </c>
      <c r="C9" s="2" t="s">
        <v>26</v>
      </c>
      <c r="D9" s="2" t="s">
        <v>9</v>
      </c>
      <c r="E9">
        <v>350</v>
      </c>
      <c r="F9">
        <v>178.45</v>
      </c>
      <c r="G9" s="1">
        <v>46029</v>
      </c>
      <c r="H9" s="2" t="s">
        <v>10</v>
      </c>
    </row>
    <row r="10" spans="1:8" x14ac:dyDescent="0.2">
      <c r="A10" t="s">
        <v>27</v>
      </c>
      <c r="B10" s="1">
        <v>46027</v>
      </c>
      <c r="C10" s="2" t="s">
        <v>28</v>
      </c>
      <c r="D10" s="2" t="s">
        <v>9</v>
      </c>
      <c r="E10">
        <v>150</v>
      </c>
      <c r="F10">
        <v>420.75</v>
      </c>
      <c r="G10" s="1">
        <v>46029</v>
      </c>
      <c r="H10" s="2" t="s">
        <v>10</v>
      </c>
    </row>
    <row r="11" spans="1:8" x14ac:dyDescent="0.2">
      <c r="A11" t="s">
        <v>29</v>
      </c>
      <c r="B11" s="1">
        <v>46027</v>
      </c>
      <c r="C11" s="2" t="s">
        <v>30</v>
      </c>
      <c r="D11" s="2" t="s">
        <v>13</v>
      </c>
      <c r="E11">
        <v>500</v>
      </c>
      <c r="F11">
        <v>275.2</v>
      </c>
      <c r="G11" s="1">
        <v>46029</v>
      </c>
      <c r="H11" s="2" t="s">
        <v>10</v>
      </c>
    </row>
    <row r="12" spans="1:8" x14ac:dyDescent="0.2">
      <c r="A12" t="s">
        <v>31</v>
      </c>
      <c r="B12" s="1">
        <v>46058</v>
      </c>
      <c r="C12" s="2" t="s">
        <v>32</v>
      </c>
      <c r="D12" s="2" t="s">
        <v>9</v>
      </c>
      <c r="E12">
        <v>250</v>
      </c>
      <c r="F12">
        <v>485.6</v>
      </c>
      <c r="G12" s="1">
        <v>46030</v>
      </c>
      <c r="H12" s="2" t="s">
        <v>22</v>
      </c>
    </row>
    <row r="13" spans="1:8" x14ac:dyDescent="0.2">
      <c r="A13" t="s">
        <v>33</v>
      </c>
      <c r="B13" s="1">
        <v>46058</v>
      </c>
      <c r="C13" s="2" t="s">
        <v>34</v>
      </c>
      <c r="D13" s="2" t="s">
        <v>13</v>
      </c>
      <c r="E13">
        <v>400</v>
      </c>
      <c r="F13">
        <v>625.79999999999995</v>
      </c>
      <c r="G13" s="1">
        <v>46030</v>
      </c>
      <c r="H13" s="2" t="s">
        <v>10</v>
      </c>
    </row>
    <row r="14" spans="1:8" x14ac:dyDescent="0.2">
      <c r="A14" t="s">
        <v>35</v>
      </c>
      <c r="B14" s="1">
        <v>46058</v>
      </c>
      <c r="C14" s="2" t="s">
        <v>36</v>
      </c>
      <c r="D14" s="2" t="s">
        <v>9</v>
      </c>
      <c r="E14">
        <v>800</v>
      </c>
      <c r="F14">
        <v>112.4</v>
      </c>
      <c r="G14" s="1">
        <v>46030</v>
      </c>
      <c r="H14" s="2" t="s">
        <v>10</v>
      </c>
    </row>
    <row r="15" spans="1:8" x14ac:dyDescent="0.2">
      <c r="A15" t="s">
        <v>37</v>
      </c>
      <c r="B15" s="1">
        <v>46058</v>
      </c>
      <c r="C15" s="2" t="s">
        <v>38</v>
      </c>
      <c r="D15" s="2" t="s">
        <v>9</v>
      </c>
      <c r="E15">
        <v>300</v>
      </c>
      <c r="F15">
        <v>178.9</v>
      </c>
      <c r="G15" s="1">
        <v>46030</v>
      </c>
      <c r="H15" s="2" t="s">
        <v>10</v>
      </c>
    </row>
    <row r="16" spans="1:8" x14ac:dyDescent="0.2">
      <c r="A16" t="s">
        <v>39</v>
      </c>
      <c r="B16" s="1">
        <v>46058</v>
      </c>
      <c r="C16" s="2" t="s">
        <v>40</v>
      </c>
      <c r="D16" s="2" t="s">
        <v>13</v>
      </c>
      <c r="E16">
        <v>1000</v>
      </c>
      <c r="F16">
        <v>138.25</v>
      </c>
      <c r="G16" s="1">
        <v>46030</v>
      </c>
      <c r="H16" s="2" t="s">
        <v>10</v>
      </c>
    </row>
    <row r="17" spans="1:8" x14ac:dyDescent="0.2">
      <c r="A17" t="s">
        <v>130</v>
      </c>
      <c r="B17" s="1">
        <v>46058</v>
      </c>
      <c r="C17" s="2" t="s">
        <v>59</v>
      </c>
      <c r="D17" s="2" t="s">
        <v>9</v>
      </c>
      <c r="E17">
        <v>500</v>
      </c>
      <c r="F17">
        <v>285.60000000000002</v>
      </c>
      <c r="G17" s="1">
        <v>46030</v>
      </c>
      <c r="H17" s="2" t="s">
        <v>10</v>
      </c>
    </row>
    <row r="18" spans="1:8" x14ac:dyDescent="0.2">
      <c r="A18" t="s">
        <v>131</v>
      </c>
      <c r="B18" s="1">
        <v>46058</v>
      </c>
      <c r="C18" s="2" t="s">
        <v>132</v>
      </c>
      <c r="D18" s="2" t="s">
        <v>9</v>
      </c>
      <c r="E18">
        <v>900</v>
      </c>
      <c r="F18">
        <v>165.4</v>
      </c>
      <c r="G18" s="1">
        <v>46030</v>
      </c>
      <c r="H18" s="2" t="s">
        <v>10</v>
      </c>
    </row>
    <row r="19" spans="1:8" x14ac:dyDescent="0.2">
      <c r="A19" t="s">
        <v>133</v>
      </c>
      <c r="B19" s="1">
        <v>46058</v>
      </c>
      <c r="C19" s="2" t="s">
        <v>134</v>
      </c>
      <c r="D19" s="2" t="s">
        <v>13</v>
      </c>
      <c r="E19">
        <v>400</v>
      </c>
      <c r="F19">
        <v>45.8</v>
      </c>
      <c r="G19" s="1">
        <v>46030</v>
      </c>
      <c r="H19" s="2" t="s">
        <v>10</v>
      </c>
    </row>
    <row r="20" spans="1:8" x14ac:dyDescent="0.2">
      <c r="A20" t="s">
        <v>135</v>
      </c>
      <c r="B20" s="1">
        <v>46058</v>
      </c>
      <c r="C20" s="2" t="s">
        <v>136</v>
      </c>
      <c r="D20" s="2" t="s">
        <v>9</v>
      </c>
      <c r="E20">
        <v>350</v>
      </c>
      <c r="F20">
        <v>78.25</v>
      </c>
      <c r="G20" s="1">
        <v>46030</v>
      </c>
      <c r="H20" s="2" t="s">
        <v>10</v>
      </c>
    </row>
    <row r="21" spans="1:8" x14ac:dyDescent="0.2">
      <c r="A21" t="s">
        <v>137</v>
      </c>
      <c r="B21" s="1">
        <v>46058</v>
      </c>
      <c r="C21" s="2" t="s">
        <v>138</v>
      </c>
      <c r="D21" s="2" t="s">
        <v>13</v>
      </c>
      <c r="E21">
        <v>600</v>
      </c>
      <c r="F21">
        <v>72.150000000000006</v>
      </c>
      <c r="G21" s="1">
        <v>46030</v>
      </c>
      <c r="H21" s="2" t="s">
        <v>10</v>
      </c>
    </row>
    <row r="22" spans="1:8" x14ac:dyDescent="0.2">
      <c r="A22" t="s">
        <v>139</v>
      </c>
      <c r="B22" s="1">
        <v>46147</v>
      </c>
      <c r="C22" s="2" t="s">
        <v>140</v>
      </c>
      <c r="D22" s="2" t="s">
        <v>9</v>
      </c>
      <c r="E22">
        <v>800</v>
      </c>
      <c r="F22">
        <v>28.9</v>
      </c>
      <c r="G22" s="1">
        <v>46031</v>
      </c>
      <c r="H22" s="2" t="s">
        <v>10</v>
      </c>
    </row>
    <row r="23" spans="1:8" x14ac:dyDescent="0.2">
      <c r="A23" t="s">
        <v>141</v>
      </c>
      <c r="B23" s="1">
        <v>46147</v>
      </c>
      <c r="C23" s="2" t="s">
        <v>142</v>
      </c>
      <c r="D23" s="2" t="s">
        <v>9</v>
      </c>
      <c r="E23">
        <v>450</v>
      </c>
      <c r="F23">
        <v>162.30000000000001</v>
      </c>
      <c r="G23" s="1">
        <v>46031</v>
      </c>
      <c r="H23" s="2" t="s">
        <v>10</v>
      </c>
    </row>
    <row r="24" spans="1:8" x14ac:dyDescent="0.2">
      <c r="A24" t="s">
        <v>143</v>
      </c>
      <c r="B24" s="1">
        <v>46147</v>
      </c>
      <c r="C24" s="2" t="s">
        <v>144</v>
      </c>
      <c r="D24" s="2" t="s">
        <v>13</v>
      </c>
      <c r="E24">
        <v>550</v>
      </c>
      <c r="F24">
        <v>118.6</v>
      </c>
      <c r="G24" s="1">
        <v>46031</v>
      </c>
      <c r="H24" s="2" t="s">
        <v>10</v>
      </c>
    </row>
    <row r="25" spans="1:8" x14ac:dyDescent="0.2">
      <c r="A25" t="s">
        <v>145</v>
      </c>
      <c r="B25" s="1">
        <v>46147</v>
      </c>
      <c r="C25" s="2" t="s">
        <v>146</v>
      </c>
      <c r="D25" s="2" t="s">
        <v>9</v>
      </c>
      <c r="E25">
        <v>300</v>
      </c>
      <c r="F25">
        <v>158.4</v>
      </c>
      <c r="G25" s="1">
        <v>46031</v>
      </c>
      <c r="H25" s="2" t="s">
        <v>10</v>
      </c>
    </row>
    <row r="26" spans="1:8" x14ac:dyDescent="0.2">
      <c r="A26" t="s">
        <v>147</v>
      </c>
      <c r="B26" s="1">
        <v>46147</v>
      </c>
      <c r="C26" s="2" t="s">
        <v>148</v>
      </c>
      <c r="D26" s="2" t="s">
        <v>13</v>
      </c>
      <c r="E26">
        <v>700</v>
      </c>
      <c r="F26">
        <v>165.8</v>
      </c>
      <c r="G26" s="1">
        <v>46031</v>
      </c>
      <c r="H26" s="2" t="s">
        <v>10</v>
      </c>
    </row>
    <row r="27" spans="1:8" x14ac:dyDescent="0.2">
      <c r="A27" t="s">
        <v>149</v>
      </c>
      <c r="B27" s="1">
        <v>46147</v>
      </c>
      <c r="C27" s="2" t="s">
        <v>150</v>
      </c>
      <c r="D27" s="2" t="s">
        <v>9</v>
      </c>
      <c r="E27">
        <v>250</v>
      </c>
      <c r="F27">
        <v>385.2</v>
      </c>
      <c r="G27" s="1">
        <v>46031</v>
      </c>
      <c r="H27" s="2" t="s">
        <v>10</v>
      </c>
    </row>
    <row r="28" spans="1:8" x14ac:dyDescent="0.2">
      <c r="A28" t="s">
        <v>151</v>
      </c>
      <c r="B28" s="1">
        <v>46147</v>
      </c>
      <c r="C28" s="2" t="s">
        <v>152</v>
      </c>
      <c r="D28" s="2" t="s">
        <v>9</v>
      </c>
      <c r="E28">
        <v>180</v>
      </c>
      <c r="F28">
        <v>512.4</v>
      </c>
      <c r="G28" s="1">
        <v>46031</v>
      </c>
      <c r="H28" s="2" t="s">
        <v>10</v>
      </c>
    </row>
    <row r="29" spans="1:8" x14ac:dyDescent="0.2">
      <c r="A29" t="s">
        <v>153</v>
      </c>
      <c r="B29" s="1">
        <v>46147</v>
      </c>
      <c r="C29" s="2" t="s">
        <v>154</v>
      </c>
      <c r="D29" s="2" t="s">
        <v>13</v>
      </c>
      <c r="E29">
        <v>220</v>
      </c>
      <c r="F29">
        <v>785.6</v>
      </c>
      <c r="G29" s="1">
        <v>46031</v>
      </c>
      <c r="H29" s="2" t="s">
        <v>10</v>
      </c>
    </row>
    <row r="30" spans="1:8" x14ac:dyDescent="0.2">
      <c r="A30" t="s">
        <v>155</v>
      </c>
      <c r="B30" s="1">
        <v>46147</v>
      </c>
      <c r="C30" s="2" t="s">
        <v>156</v>
      </c>
      <c r="D30" s="2" t="s">
        <v>9</v>
      </c>
      <c r="E30">
        <v>500</v>
      </c>
      <c r="F30">
        <v>175.3</v>
      </c>
      <c r="G30" s="1">
        <v>46031</v>
      </c>
      <c r="H30" s="2" t="s">
        <v>10</v>
      </c>
    </row>
    <row r="31" spans="1:8" x14ac:dyDescent="0.2">
      <c r="A31" t="s">
        <v>157</v>
      </c>
      <c r="B31" s="1">
        <v>46147</v>
      </c>
      <c r="C31" s="2" t="s">
        <v>158</v>
      </c>
      <c r="D31" s="2" t="s">
        <v>13</v>
      </c>
      <c r="E31">
        <v>400</v>
      </c>
      <c r="F31">
        <v>172.9</v>
      </c>
      <c r="G31" s="1">
        <v>46031</v>
      </c>
      <c r="H31" s="2" t="s">
        <v>10</v>
      </c>
    </row>
    <row r="32" spans="1:8" x14ac:dyDescent="0.2">
      <c r="A32" t="s">
        <v>159</v>
      </c>
      <c r="B32" s="1">
        <v>46178</v>
      </c>
      <c r="C32" s="2" t="s">
        <v>160</v>
      </c>
      <c r="D32" s="2" t="s">
        <v>9</v>
      </c>
      <c r="E32">
        <v>900</v>
      </c>
      <c r="F32">
        <v>64.5</v>
      </c>
      <c r="G32" s="1">
        <v>46032</v>
      </c>
      <c r="H32" s="2" t="s">
        <v>22</v>
      </c>
    </row>
    <row r="33" spans="1:8" x14ac:dyDescent="0.2">
      <c r="A33" t="s">
        <v>161</v>
      </c>
      <c r="B33" s="1">
        <v>46178</v>
      </c>
      <c r="C33" s="2" t="s">
        <v>162</v>
      </c>
      <c r="D33" s="2" t="s">
        <v>13</v>
      </c>
      <c r="E33">
        <v>300</v>
      </c>
      <c r="F33">
        <v>295.7</v>
      </c>
      <c r="G33" s="1">
        <v>46032</v>
      </c>
      <c r="H33" s="2" t="s">
        <v>10</v>
      </c>
    </row>
    <row r="34" spans="1:8" x14ac:dyDescent="0.2">
      <c r="A34" t="s">
        <v>163</v>
      </c>
      <c r="B34" s="1">
        <v>46178</v>
      </c>
      <c r="C34" s="2" t="s">
        <v>164</v>
      </c>
      <c r="D34" s="2" t="s">
        <v>9</v>
      </c>
      <c r="E34">
        <v>650</v>
      </c>
      <c r="F34">
        <v>108.4</v>
      </c>
      <c r="G34" s="1">
        <v>46032</v>
      </c>
      <c r="H34" s="2" t="s">
        <v>10</v>
      </c>
    </row>
    <row r="35" spans="1:8" x14ac:dyDescent="0.2">
      <c r="A35" t="s">
        <v>165</v>
      </c>
      <c r="B35" s="1">
        <v>46178</v>
      </c>
      <c r="C35" s="2" t="s">
        <v>166</v>
      </c>
      <c r="D35" s="2" t="s">
        <v>9</v>
      </c>
      <c r="E35">
        <v>200</v>
      </c>
      <c r="F35">
        <v>865.3</v>
      </c>
      <c r="G35" s="1">
        <v>46032</v>
      </c>
      <c r="H35" s="2" t="s">
        <v>10</v>
      </c>
    </row>
    <row r="36" spans="1:8" x14ac:dyDescent="0.2">
      <c r="A36" t="s">
        <v>167</v>
      </c>
      <c r="B36" s="1">
        <v>46178</v>
      </c>
      <c r="C36" s="2" t="s">
        <v>168</v>
      </c>
      <c r="D36" s="2" t="s">
        <v>13</v>
      </c>
      <c r="E36">
        <v>550</v>
      </c>
      <c r="F36">
        <v>98.75</v>
      </c>
      <c r="G36" s="1">
        <v>46032</v>
      </c>
      <c r="H36" s="2" t="s">
        <v>10</v>
      </c>
    </row>
    <row r="37" spans="1:8" x14ac:dyDescent="0.2">
      <c r="A37" t="s">
        <v>169</v>
      </c>
      <c r="B37" s="1">
        <v>46178</v>
      </c>
      <c r="C37" s="2" t="s">
        <v>170</v>
      </c>
      <c r="D37" s="2" t="s">
        <v>9</v>
      </c>
      <c r="E37">
        <v>450</v>
      </c>
      <c r="F37">
        <v>152.6</v>
      </c>
      <c r="G37" s="1">
        <v>46032</v>
      </c>
      <c r="H37" s="2" t="s">
        <v>10</v>
      </c>
    </row>
    <row r="38" spans="1:8" x14ac:dyDescent="0.2">
      <c r="A38" t="s">
        <v>171</v>
      </c>
      <c r="B38" s="1">
        <v>46178</v>
      </c>
      <c r="C38" s="2" t="s">
        <v>172</v>
      </c>
      <c r="D38" s="2" t="s">
        <v>13</v>
      </c>
      <c r="E38">
        <v>280</v>
      </c>
      <c r="F38">
        <v>248.9</v>
      </c>
      <c r="G38" s="1">
        <v>46032</v>
      </c>
      <c r="H38" s="2" t="s">
        <v>10</v>
      </c>
    </row>
    <row r="39" spans="1:8" x14ac:dyDescent="0.2">
      <c r="A39" t="s">
        <v>173</v>
      </c>
      <c r="B39" s="1">
        <v>46178</v>
      </c>
      <c r="C39" s="2" t="s">
        <v>174</v>
      </c>
      <c r="D39" s="2" t="s">
        <v>9</v>
      </c>
      <c r="E39">
        <v>320</v>
      </c>
      <c r="F39">
        <v>385.4</v>
      </c>
      <c r="G39" s="1">
        <v>46032</v>
      </c>
      <c r="H39" s="2" t="s">
        <v>10</v>
      </c>
    </row>
    <row r="40" spans="1:8" x14ac:dyDescent="0.2">
      <c r="A40" t="s">
        <v>175</v>
      </c>
      <c r="B40" s="1">
        <v>46178</v>
      </c>
      <c r="C40" s="2" t="s">
        <v>176</v>
      </c>
      <c r="D40" s="2" t="s">
        <v>9</v>
      </c>
      <c r="E40">
        <v>190</v>
      </c>
      <c r="F40">
        <v>412.8</v>
      </c>
      <c r="G40" s="1">
        <v>46032</v>
      </c>
      <c r="H40" s="2" t="s">
        <v>10</v>
      </c>
    </row>
    <row r="41" spans="1:8" x14ac:dyDescent="0.2">
      <c r="A41" t="s">
        <v>177</v>
      </c>
      <c r="B41" s="1">
        <v>46178</v>
      </c>
      <c r="C41" s="2" t="s">
        <v>178</v>
      </c>
      <c r="D41" s="2" t="s">
        <v>13</v>
      </c>
      <c r="E41">
        <v>400</v>
      </c>
      <c r="F41">
        <v>125.7</v>
      </c>
      <c r="G41" s="1">
        <v>46032</v>
      </c>
      <c r="H41" s="2" t="s">
        <v>10</v>
      </c>
    </row>
    <row r="42" spans="1:8" x14ac:dyDescent="0.2">
      <c r="A42" t="s">
        <v>179</v>
      </c>
      <c r="B42" s="1">
        <v>46208</v>
      </c>
      <c r="C42" s="2" t="s">
        <v>180</v>
      </c>
      <c r="D42" s="2" t="s">
        <v>9</v>
      </c>
      <c r="E42">
        <v>350</v>
      </c>
      <c r="F42">
        <v>218.3</v>
      </c>
      <c r="G42" s="1">
        <v>46033</v>
      </c>
      <c r="H42" s="2" t="s">
        <v>22</v>
      </c>
    </row>
    <row r="43" spans="1:8" x14ac:dyDescent="0.2">
      <c r="A43" t="s">
        <v>181</v>
      </c>
      <c r="B43" s="1">
        <v>46208</v>
      </c>
      <c r="C43" s="2" t="s">
        <v>182</v>
      </c>
      <c r="D43" s="2" t="s">
        <v>13</v>
      </c>
      <c r="E43">
        <v>500</v>
      </c>
      <c r="F43">
        <v>108.9</v>
      </c>
      <c r="G43" s="1">
        <v>46033</v>
      </c>
      <c r="H43" s="2" t="s">
        <v>10</v>
      </c>
    </row>
    <row r="44" spans="1:8" x14ac:dyDescent="0.2">
      <c r="A44" t="s">
        <v>183</v>
      </c>
      <c r="B44" s="1">
        <v>46208</v>
      </c>
      <c r="C44" s="2" t="s">
        <v>184</v>
      </c>
      <c r="D44" s="2" t="s">
        <v>9</v>
      </c>
      <c r="E44">
        <v>150</v>
      </c>
      <c r="F44">
        <v>565.20000000000005</v>
      </c>
      <c r="G44" s="1">
        <v>46033</v>
      </c>
      <c r="H44" s="2" t="s">
        <v>10</v>
      </c>
    </row>
    <row r="45" spans="1:8" x14ac:dyDescent="0.2">
      <c r="A45" t="s">
        <v>185</v>
      </c>
      <c r="B45" s="1">
        <v>46208</v>
      </c>
      <c r="C45" s="2" t="s">
        <v>186</v>
      </c>
      <c r="D45" s="2" t="s">
        <v>9</v>
      </c>
      <c r="E45">
        <v>800</v>
      </c>
      <c r="F45">
        <v>172.4</v>
      </c>
      <c r="G45" s="1">
        <v>46033</v>
      </c>
      <c r="H45" s="2" t="s">
        <v>10</v>
      </c>
    </row>
    <row r="46" spans="1:8" x14ac:dyDescent="0.2">
      <c r="A46" t="s">
        <v>187</v>
      </c>
      <c r="B46" s="1">
        <v>46208</v>
      </c>
      <c r="C46" s="2" t="s">
        <v>188</v>
      </c>
      <c r="D46" s="2" t="s">
        <v>13</v>
      </c>
      <c r="E46">
        <v>1200</v>
      </c>
      <c r="F46">
        <v>12.85</v>
      </c>
      <c r="G46" s="1">
        <v>46033</v>
      </c>
      <c r="H46" s="2" t="s">
        <v>10</v>
      </c>
    </row>
    <row r="47" spans="1:8" x14ac:dyDescent="0.2">
      <c r="A47" t="s">
        <v>189</v>
      </c>
      <c r="B47" s="1">
        <v>46208</v>
      </c>
      <c r="C47" s="2" t="s">
        <v>190</v>
      </c>
      <c r="D47" s="2" t="s">
        <v>9</v>
      </c>
      <c r="E47">
        <v>700</v>
      </c>
      <c r="F47">
        <v>45.6</v>
      </c>
      <c r="G47" s="1">
        <v>46033</v>
      </c>
      <c r="H47" s="2" t="s">
        <v>10</v>
      </c>
    </row>
    <row r="48" spans="1:8" x14ac:dyDescent="0.2">
      <c r="A48" t="s">
        <v>191</v>
      </c>
      <c r="B48" s="1">
        <v>46208</v>
      </c>
      <c r="C48" s="2" t="s">
        <v>192</v>
      </c>
      <c r="D48" s="2" t="s">
        <v>13</v>
      </c>
      <c r="E48">
        <v>500</v>
      </c>
      <c r="F48">
        <v>18.25</v>
      </c>
      <c r="G48" s="1">
        <v>46033</v>
      </c>
      <c r="H48" s="2" t="s">
        <v>10</v>
      </c>
    </row>
    <row r="49" spans="1:8" x14ac:dyDescent="0.2">
      <c r="A49" t="s">
        <v>193</v>
      </c>
      <c r="B49" s="1">
        <v>46208</v>
      </c>
      <c r="C49" s="2" t="s">
        <v>194</v>
      </c>
      <c r="D49" s="2" t="s">
        <v>9</v>
      </c>
      <c r="E49">
        <v>900</v>
      </c>
      <c r="F49">
        <v>3.45</v>
      </c>
      <c r="G49" s="1">
        <v>46033</v>
      </c>
      <c r="H49" s="2" t="s">
        <v>10</v>
      </c>
    </row>
    <row r="50" spans="1:8" x14ac:dyDescent="0.2">
      <c r="A50" t="s">
        <v>195</v>
      </c>
      <c r="B50" s="1">
        <v>46208</v>
      </c>
      <c r="C50" s="2" t="s">
        <v>196</v>
      </c>
      <c r="D50" s="2" t="s">
        <v>13</v>
      </c>
      <c r="E50">
        <v>600</v>
      </c>
      <c r="F50">
        <v>7.8</v>
      </c>
      <c r="G50" s="1">
        <v>46033</v>
      </c>
      <c r="H50" s="2" t="s">
        <v>10</v>
      </c>
    </row>
    <row r="51" spans="1:8" x14ac:dyDescent="0.2">
      <c r="A51" t="s">
        <v>197</v>
      </c>
      <c r="B51" s="1">
        <v>46208</v>
      </c>
      <c r="C51" s="2" t="s">
        <v>198</v>
      </c>
      <c r="D51" s="2" t="s">
        <v>9</v>
      </c>
      <c r="E51">
        <v>550</v>
      </c>
      <c r="F51">
        <v>11.25</v>
      </c>
      <c r="G51" s="1">
        <v>46033</v>
      </c>
      <c r="H51" s="2" t="s">
        <v>10</v>
      </c>
    </row>
    <row r="52" spans="1:8" x14ac:dyDescent="0.2">
      <c r="A52" t="s">
        <v>199</v>
      </c>
      <c r="B52" s="1">
        <v>46239</v>
      </c>
      <c r="C52" s="2" t="s">
        <v>200</v>
      </c>
      <c r="D52" s="2" t="s">
        <v>9</v>
      </c>
      <c r="E52">
        <v>400</v>
      </c>
      <c r="F52">
        <v>88.5</v>
      </c>
      <c r="G52" s="1">
        <v>46034</v>
      </c>
      <c r="H52" s="2" t="s">
        <v>10</v>
      </c>
    </row>
    <row r="53" spans="1:8" x14ac:dyDescent="0.2">
      <c r="A53" t="s">
        <v>201</v>
      </c>
      <c r="B53" s="1">
        <v>46239</v>
      </c>
      <c r="C53" s="2" t="s">
        <v>202</v>
      </c>
      <c r="D53" s="2" t="s">
        <v>13</v>
      </c>
      <c r="E53">
        <v>350</v>
      </c>
      <c r="F53">
        <v>125.4</v>
      </c>
      <c r="G53" s="1">
        <v>46034</v>
      </c>
      <c r="H53" s="2" t="s">
        <v>10</v>
      </c>
    </row>
    <row r="54" spans="1:8" x14ac:dyDescent="0.2">
      <c r="A54" t="s">
        <v>203</v>
      </c>
      <c r="B54" s="1">
        <v>46239</v>
      </c>
      <c r="C54" s="2" t="s">
        <v>204</v>
      </c>
      <c r="D54" s="2" t="s">
        <v>9</v>
      </c>
      <c r="E54">
        <v>600</v>
      </c>
      <c r="F54">
        <v>38.75</v>
      </c>
      <c r="G54" s="1">
        <v>46034</v>
      </c>
      <c r="H54" s="2" t="s">
        <v>10</v>
      </c>
    </row>
    <row r="55" spans="1:8" x14ac:dyDescent="0.2">
      <c r="A55" t="s">
        <v>205</v>
      </c>
      <c r="B55" s="1">
        <v>46239</v>
      </c>
      <c r="C55" s="2" t="s">
        <v>206</v>
      </c>
      <c r="D55" s="2" t="s">
        <v>9</v>
      </c>
      <c r="E55">
        <v>500</v>
      </c>
      <c r="F55">
        <v>165.8</v>
      </c>
      <c r="G55" s="1">
        <v>46034</v>
      </c>
      <c r="H55" s="2" t="s">
        <v>10</v>
      </c>
    </row>
    <row r="56" spans="1:8" x14ac:dyDescent="0.2">
      <c r="A56" t="s">
        <v>207</v>
      </c>
      <c r="B56" s="1">
        <v>46239</v>
      </c>
      <c r="C56" s="2" t="s">
        <v>208</v>
      </c>
      <c r="D56" s="2" t="s">
        <v>13</v>
      </c>
      <c r="E56">
        <v>100</v>
      </c>
      <c r="F56">
        <v>985.6</v>
      </c>
      <c r="G56" s="1">
        <v>46034</v>
      </c>
      <c r="H56" s="2" t="s">
        <v>10</v>
      </c>
    </row>
    <row r="57" spans="1:8" x14ac:dyDescent="0.2">
      <c r="A57" t="s">
        <v>209</v>
      </c>
      <c r="B57" s="1">
        <v>46239</v>
      </c>
      <c r="C57" s="2" t="s">
        <v>210</v>
      </c>
      <c r="D57" s="2" t="s">
        <v>9</v>
      </c>
      <c r="E57">
        <v>250</v>
      </c>
      <c r="F57">
        <v>198.3</v>
      </c>
      <c r="G57" s="1">
        <v>46034</v>
      </c>
      <c r="H57" s="2" t="s">
        <v>10</v>
      </c>
    </row>
    <row r="58" spans="1:8" x14ac:dyDescent="0.2">
      <c r="A58" t="s">
        <v>211</v>
      </c>
      <c r="B58" s="1">
        <v>46239</v>
      </c>
      <c r="C58" s="2" t="s">
        <v>212</v>
      </c>
      <c r="D58" s="2" t="s">
        <v>13</v>
      </c>
      <c r="E58">
        <v>400</v>
      </c>
      <c r="F58">
        <v>75.900000000000006</v>
      </c>
      <c r="G58" s="1">
        <v>46034</v>
      </c>
      <c r="H58" s="2" t="s">
        <v>10</v>
      </c>
    </row>
    <row r="59" spans="1:8" x14ac:dyDescent="0.2">
      <c r="A59" t="s">
        <v>213</v>
      </c>
      <c r="B59" s="1">
        <v>46239</v>
      </c>
      <c r="C59" s="2" t="s">
        <v>214</v>
      </c>
      <c r="D59" s="2" t="s">
        <v>9</v>
      </c>
      <c r="E59">
        <v>800</v>
      </c>
      <c r="F59">
        <v>68.25</v>
      </c>
      <c r="G59" s="1">
        <v>46034</v>
      </c>
      <c r="H59" s="2" t="s">
        <v>10</v>
      </c>
    </row>
    <row r="60" spans="1:8" x14ac:dyDescent="0.2">
      <c r="A60" t="s">
        <v>215</v>
      </c>
      <c r="B60" s="1">
        <v>46239</v>
      </c>
      <c r="C60" s="2" t="s">
        <v>216</v>
      </c>
      <c r="D60" s="2" t="s">
        <v>13</v>
      </c>
      <c r="E60">
        <v>300</v>
      </c>
      <c r="F60">
        <v>245.7</v>
      </c>
      <c r="G60" s="1">
        <v>46034</v>
      </c>
      <c r="H60" s="2" t="s">
        <v>10</v>
      </c>
    </row>
    <row r="61" spans="1:8" x14ac:dyDescent="0.2">
      <c r="A61" t="s">
        <v>217</v>
      </c>
      <c r="B61" s="1">
        <v>46239</v>
      </c>
      <c r="C61" s="2" t="s">
        <v>218</v>
      </c>
      <c r="D61" s="2" t="s">
        <v>9</v>
      </c>
      <c r="E61">
        <v>1000</v>
      </c>
      <c r="F61">
        <v>22.4</v>
      </c>
      <c r="G61" s="1">
        <v>46034</v>
      </c>
      <c r="H61" s="2" t="s">
        <v>10</v>
      </c>
    </row>
    <row r="62" spans="1:8" x14ac:dyDescent="0.2">
      <c r="A62" t="s">
        <v>219</v>
      </c>
      <c r="B62" s="1">
        <v>46270</v>
      </c>
      <c r="C62" s="2" t="s">
        <v>220</v>
      </c>
      <c r="D62" s="2" t="s">
        <v>13</v>
      </c>
      <c r="E62">
        <v>900</v>
      </c>
      <c r="F62">
        <v>12.85</v>
      </c>
      <c r="G62" s="1">
        <v>46035</v>
      </c>
      <c r="H62" s="2" t="s">
        <v>22</v>
      </c>
    </row>
    <row r="63" spans="1:8" x14ac:dyDescent="0.2">
      <c r="A63" t="s">
        <v>221</v>
      </c>
      <c r="B63" s="1">
        <v>46270</v>
      </c>
      <c r="C63" s="2" t="s">
        <v>222</v>
      </c>
      <c r="D63" s="2" t="s">
        <v>9</v>
      </c>
      <c r="E63">
        <v>500</v>
      </c>
      <c r="F63">
        <v>38.6</v>
      </c>
      <c r="G63" s="1">
        <v>46035</v>
      </c>
      <c r="H63" s="2" t="s">
        <v>10</v>
      </c>
    </row>
    <row r="64" spans="1:8" x14ac:dyDescent="0.2">
      <c r="A64" t="s">
        <v>223</v>
      </c>
      <c r="B64" s="1">
        <v>46270</v>
      </c>
      <c r="C64" s="2" t="s">
        <v>224</v>
      </c>
      <c r="D64" s="2" t="s">
        <v>13</v>
      </c>
      <c r="E64">
        <v>450</v>
      </c>
      <c r="F64">
        <v>48.9</v>
      </c>
      <c r="G64" s="1">
        <v>46035</v>
      </c>
      <c r="H64" s="2" t="s">
        <v>10</v>
      </c>
    </row>
    <row r="65" spans="1:8" x14ac:dyDescent="0.2">
      <c r="A65" t="s">
        <v>225</v>
      </c>
      <c r="B65" s="1">
        <v>46270</v>
      </c>
      <c r="C65" s="2" t="s">
        <v>226</v>
      </c>
      <c r="D65" s="2" t="s">
        <v>9</v>
      </c>
      <c r="E65">
        <v>200</v>
      </c>
      <c r="F65">
        <v>325.7</v>
      </c>
      <c r="G65" s="1">
        <v>46035</v>
      </c>
      <c r="H65" s="2" t="s">
        <v>10</v>
      </c>
    </row>
    <row r="66" spans="1:8" x14ac:dyDescent="0.2">
      <c r="A66" t="s">
        <v>227</v>
      </c>
      <c r="B66" s="1">
        <v>46270</v>
      </c>
      <c r="C66" s="2" t="s">
        <v>228</v>
      </c>
      <c r="D66" s="2" t="s">
        <v>13</v>
      </c>
      <c r="E66">
        <v>600</v>
      </c>
      <c r="F66">
        <v>42.35</v>
      </c>
      <c r="G66" s="1">
        <v>46035</v>
      </c>
      <c r="H66" s="2" t="s">
        <v>10</v>
      </c>
    </row>
    <row r="67" spans="1:8" x14ac:dyDescent="0.2">
      <c r="A67" t="s">
        <v>229</v>
      </c>
      <c r="B67" s="1">
        <v>46270</v>
      </c>
      <c r="C67" s="2" t="s">
        <v>230</v>
      </c>
      <c r="D67" s="2" t="s">
        <v>9</v>
      </c>
      <c r="E67">
        <v>350</v>
      </c>
      <c r="F67">
        <v>28.8</v>
      </c>
      <c r="G67" s="1">
        <v>46035</v>
      </c>
      <c r="H67" s="2" t="s">
        <v>10</v>
      </c>
    </row>
    <row r="68" spans="1:8" x14ac:dyDescent="0.2">
      <c r="A68" t="s">
        <v>231</v>
      </c>
      <c r="B68" s="1">
        <v>46270</v>
      </c>
      <c r="C68" s="2" t="s">
        <v>232</v>
      </c>
      <c r="D68" s="2" t="s">
        <v>13</v>
      </c>
      <c r="E68">
        <v>700</v>
      </c>
      <c r="F68">
        <v>38.450000000000003</v>
      </c>
      <c r="G68" s="1">
        <v>46035</v>
      </c>
      <c r="H68" s="2" t="s">
        <v>10</v>
      </c>
    </row>
    <row r="69" spans="1:8" x14ac:dyDescent="0.2">
      <c r="A69" t="s">
        <v>233</v>
      </c>
      <c r="B69" s="1">
        <v>46270</v>
      </c>
      <c r="C69" s="2" t="s">
        <v>234</v>
      </c>
      <c r="D69" s="2" t="s">
        <v>9</v>
      </c>
      <c r="E69">
        <v>400</v>
      </c>
      <c r="F69">
        <v>22.6</v>
      </c>
      <c r="G69" s="1">
        <v>46035</v>
      </c>
      <c r="H69" s="2" t="s">
        <v>10</v>
      </c>
    </row>
    <row r="70" spans="1:8" x14ac:dyDescent="0.2">
      <c r="A70" t="s">
        <v>235</v>
      </c>
      <c r="B70" s="1">
        <v>46270</v>
      </c>
      <c r="C70" s="2" t="s">
        <v>236</v>
      </c>
      <c r="D70" s="2" t="s">
        <v>13</v>
      </c>
      <c r="E70">
        <v>550</v>
      </c>
      <c r="F70">
        <v>45.75</v>
      </c>
      <c r="G70" s="1">
        <v>46035</v>
      </c>
      <c r="H70" s="2" t="s">
        <v>10</v>
      </c>
    </row>
    <row r="71" spans="1:8" x14ac:dyDescent="0.2">
      <c r="A71" t="s">
        <v>237</v>
      </c>
      <c r="B71" s="1">
        <v>46270</v>
      </c>
      <c r="C71" s="2" t="s">
        <v>238</v>
      </c>
      <c r="D71" s="2" t="s">
        <v>9</v>
      </c>
      <c r="E71">
        <v>250</v>
      </c>
      <c r="F71">
        <v>98.4</v>
      </c>
      <c r="G71" s="1">
        <v>46035</v>
      </c>
      <c r="H71" s="2" t="s">
        <v>10</v>
      </c>
    </row>
    <row r="72" spans="1:8" x14ac:dyDescent="0.2">
      <c r="A72" t="s">
        <v>239</v>
      </c>
      <c r="B72" s="1">
        <v>46361</v>
      </c>
      <c r="C72" s="2" t="s">
        <v>240</v>
      </c>
      <c r="D72" s="2" t="s">
        <v>9</v>
      </c>
      <c r="E72">
        <v>300</v>
      </c>
      <c r="F72">
        <v>245.8</v>
      </c>
      <c r="G72" s="1">
        <v>46036</v>
      </c>
      <c r="H72" s="2" t="s">
        <v>10</v>
      </c>
    </row>
    <row r="73" spans="1:8" x14ac:dyDescent="0.2">
      <c r="A73" t="s">
        <v>241</v>
      </c>
      <c r="B73" s="1">
        <v>46361</v>
      </c>
      <c r="C73" s="2" t="s">
        <v>242</v>
      </c>
      <c r="D73" s="2" t="s">
        <v>13</v>
      </c>
      <c r="E73">
        <v>400</v>
      </c>
      <c r="F73">
        <v>218.5</v>
      </c>
      <c r="G73" s="1">
        <v>46036</v>
      </c>
      <c r="H73" s="2" t="s">
        <v>10</v>
      </c>
    </row>
    <row r="74" spans="1:8" x14ac:dyDescent="0.2">
      <c r="A74" t="s">
        <v>243</v>
      </c>
      <c r="B74" s="1">
        <v>46361</v>
      </c>
      <c r="C74" s="2" t="s">
        <v>244</v>
      </c>
      <c r="D74" s="2" t="s">
        <v>9</v>
      </c>
      <c r="E74">
        <v>200</v>
      </c>
      <c r="F74">
        <v>108.9</v>
      </c>
      <c r="G74" s="1">
        <v>46036</v>
      </c>
      <c r="H74" s="2" t="s">
        <v>10</v>
      </c>
    </row>
    <row r="75" spans="1:8" x14ac:dyDescent="0.2">
      <c r="A75" t="s">
        <v>245</v>
      </c>
      <c r="B75" s="1">
        <v>46361</v>
      </c>
      <c r="C75" s="2" t="s">
        <v>246</v>
      </c>
      <c r="D75" s="2" t="s">
        <v>13</v>
      </c>
      <c r="E75">
        <v>500</v>
      </c>
      <c r="F75">
        <v>142.6</v>
      </c>
      <c r="G75" s="1">
        <v>46036</v>
      </c>
      <c r="H75" s="2" t="s">
        <v>10</v>
      </c>
    </row>
    <row r="76" spans="1:8" x14ac:dyDescent="0.2">
      <c r="A76" t="s">
        <v>247</v>
      </c>
      <c r="B76" s="1">
        <v>46361</v>
      </c>
      <c r="C76" s="2" t="s">
        <v>248</v>
      </c>
      <c r="D76" s="2" t="s">
        <v>9</v>
      </c>
      <c r="E76">
        <v>75</v>
      </c>
      <c r="F76">
        <v>3850</v>
      </c>
      <c r="G76" s="1">
        <v>46036</v>
      </c>
      <c r="H76" s="2" t="s">
        <v>10</v>
      </c>
    </row>
    <row r="77" spans="1:8" x14ac:dyDescent="0.2">
      <c r="A77" t="s">
        <v>249</v>
      </c>
      <c r="B77" s="1">
        <v>46361</v>
      </c>
      <c r="C77" s="2" t="s">
        <v>250</v>
      </c>
      <c r="D77" s="2" t="s">
        <v>13</v>
      </c>
      <c r="E77">
        <v>350</v>
      </c>
      <c r="F77">
        <v>142.30000000000001</v>
      </c>
      <c r="G77" s="1">
        <v>46036</v>
      </c>
      <c r="H77" s="2" t="s">
        <v>10</v>
      </c>
    </row>
    <row r="78" spans="1:8" x14ac:dyDescent="0.2">
      <c r="A78" t="s">
        <v>251</v>
      </c>
      <c r="B78" s="1">
        <v>46361</v>
      </c>
      <c r="C78" s="2" t="s">
        <v>252</v>
      </c>
      <c r="D78" s="2" t="s">
        <v>9</v>
      </c>
      <c r="E78">
        <v>800</v>
      </c>
      <c r="F78">
        <v>22.75</v>
      </c>
      <c r="G78" s="1">
        <v>46036</v>
      </c>
      <c r="H78" s="2" t="s">
        <v>10</v>
      </c>
    </row>
    <row r="79" spans="1:8" x14ac:dyDescent="0.2">
      <c r="A79" t="s">
        <v>253</v>
      </c>
      <c r="B79" s="1">
        <v>46361</v>
      </c>
      <c r="C79" s="2" t="s">
        <v>254</v>
      </c>
      <c r="D79" s="2" t="s">
        <v>13</v>
      </c>
      <c r="E79">
        <v>900</v>
      </c>
      <c r="F79">
        <v>15.4</v>
      </c>
      <c r="G79" s="1">
        <v>46036</v>
      </c>
      <c r="H79" s="2" t="s">
        <v>10</v>
      </c>
    </row>
    <row r="80" spans="1:8" x14ac:dyDescent="0.2">
      <c r="A80" t="s">
        <v>255</v>
      </c>
      <c r="B80" s="1">
        <v>46361</v>
      </c>
      <c r="C80" s="2" t="s">
        <v>256</v>
      </c>
      <c r="D80" s="2" t="s">
        <v>9</v>
      </c>
      <c r="E80">
        <v>700</v>
      </c>
      <c r="F80">
        <v>48.85</v>
      </c>
      <c r="G80" s="1">
        <v>46036</v>
      </c>
      <c r="H80" s="2" t="s">
        <v>10</v>
      </c>
    </row>
    <row r="81" spans="1:8" x14ac:dyDescent="0.2">
      <c r="A81" t="s">
        <v>257</v>
      </c>
      <c r="B81" s="1">
        <v>46361</v>
      </c>
      <c r="C81" s="2" t="s">
        <v>258</v>
      </c>
      <c r="D81" s="2" t="s">
        <v>13</v>
      </c>
      <c r="E81">
        <v>600</v>
      </c>
      <c r="F81">
        <v>52.3</v>
      </c>
      <c r="G81" s="1">
        <v>46036</v>
      </c>
      <c r="H81" s="2" t="s">
        <v>10</v>
      </c>
    </row>
    <row r="82" spans="1:8" x14ac:dyDescent="0.2">
      <c r="A82" t="s">
        <v>259</v>
      </c>
      <c r="B82" t="s">
        <v>260</v>
      </c>
      <c r="C82" s="2" t="s">
        <v>261</v>
      </c>
      <c r="D82" s="2" t="s">
        <v>9</v>
      </c>
      <c r="E82">
        <v>800</v>
      </c>
      <c r="F82">
        <v>32.6</v>
      </c>
      <c r="G82" s="1">
        <v>46037</v>
      </c>
      <c r="H82" s="2" t="s">
        <v>22</v>
      </c>
    </row>
    <row r="83" spans="1:8" x14ac:dyDescent="0.2">
      <c r="A83" t="s">
        <v>262</v>
      </c>
      <c r="B83" t="s">
        <v>260</v>
      </c>
      <c r="C83" s="2" t="s">
        <v>263</v>
      </c>
      <c r="D83" s="2" t="s">
        <v>13</v>
      </c>
      <c r="E83">
        <v>400</v>
      </c>
      <c r="F83">
        <v>45.9</v>
      </c>
      <c r="G83" s="1">
        <v>46037</v>
      </c>
      <c r="H83" s="2" t="s">
        <v>10</v>
      </c>
    </row>
    <row r="84" spans="1:8" x14ac:dyDescent="0.2">
      <c r="A84" t="s">
        <v>264</v>
      </c>
      <c r="B84" t="s">
        <v>260</v>
      </c>
      <c r="C84" s="2" t="s">
        <v>265</v>
      </c>
      <c r="D84" s="2" t="s">
        <v>9</v>
      </c>
      <c r="E84">
        <v>1000</v>
      </c>
      <c r="F84">
        <v>7.85</v>
      </c>
      <c r="G84" s="1">
        <v>46037</v>
      </c>
      <c r="H84" s="2" t="s">
        <v>10</v>
      </c>
    </row>
    <row r="85" spans="1:8" x14ac:dyDescent="0.2">
      <c r="A85" t="s">
        <v>266</v>
      </c>
      <c r="B85" t="s">
        <v>260</v>
      </c>
      <c r="C85" s="2" t="s">
        <v>267</v>
      </c>
      <c r="D85" s="2" t="s">
        <v>13</v>
      </c>
      <c r="E85">
        <v>750</v>
      </c>
      <c r="F85">
        <v>4.2</v>
      </c>
      <c r="G85" s="1">
        <v>46037</v>
      </c>
      <c r="H85" s="2" t="s">
        <v>10</v>
      </c>
    </row>
    <row r="86" spans="1:8" x14ac:dyDescent="0.2">
      <c r="A86" t="s">
        <v>268</v>
      </c>
      <c r="B86" t="s">
        <v>260</v>
      </c>
      <c r="C86" s="2" t="s">
        <v>269</v>
      </c>
      <c r="D86" s="2" t="s">
        <v>9</v>
      </c>
      <c r="E86">
        <v>500</v>
      </c>
      <c r="F86">
        <v>12.45</v>
      </c>
      <c r="G86" s="1">
        <v>46037</v>
      </c>
      <c r="H86" s="2" t="s">
        <v>10</v>
      </c>
    </row>
    <row r="87" spans="1:8" x14ac:dyDescent="0.2">
      <c r="A87" t="s">
        <v>270</v>
      </c>
      <c r="B87" t="s">
        <v>260</v>
      </c>
      <c r="C87" s="2" t="s">
        <v>271</v>
      </c>
      <c r="D87" s="2" t="s">
        <v>13</v>
      </c>
      <c r="E87">
        <v>900</v>
      </c>
      <c r="F87">
        <v>18.75</v>
      </c>
      <c r="G87" s="1">
        <v>46037</v>
      </c>
      <c r="H87" s="2" t="s">
        <v>10</v>
      </c>
    </row>
    <row r="88" spans="1:8" x14ac:dyDescent="0.2">
      <c r="A88" t="s">
        <v>272</v>
      </c>
      <c r="B88" t="s">
        <v>260</v>
      </c>
      <c r="C88" s="2" t="s">
        <v>273</v>
      </c>
      <c r="D88" s="2" t="s">
        <v>9</v>
      </c>
      <c r="E88">
        <v>350</v>
      </c>
      <c r="F88">
        <v>165.4</v>
      </c>
      <c r="G88" s="1">
        <v>46037</v>
      </c>
      <c r="H88" s="2" t="s">
        <v>10</v>
      </c>
    </row>
    <row r="89" spans="1:8" x14ac:dyDescent="0.2">
      <c r="A89" t="s">
        <v>274</v>
      </c>
      <c r="B89" t="s">
        <v>260</v>
      </c>
      <c r="C89" s="2" t="s">
        <v>275</v>
      </c>
      <c r="D89" s="2" t="s">
        <v>13</v>
      </c>
      <c r="E89">
        <v>600</v>
      </c>
      <c r="F89">
        <v>22.9</v>
      </c>
      <c r="G89" s="1">
        <v>46037</v>
      </c>
      <c r="H89" s="2" t="s">
        <v>10</v>
      </c>
    </row>
    <row r="90" spans="1:8" x14ac:dyDescent="0.2">
      <c r="A90" t="s">
        <v>276</v>
      </c>
      <c r="B90" t="s">
        <v>260</v>
      </c>
      <c r="C90" s="2" t="s">
        <v>277</v>
      </c>
      <c r="D90" s="2" t="s">
        <v>9</v>
      </c>
      <c r="E90">
        <v>450</v>
      </c>
      <c r="F90">
        <v>18.600000000000001</v>
      </c>
      <c r="G90" s="1">
        <v>46037</v>
      </c>
      <c r="H90" s="2" t="s">
        <v>10</v>
      </c>
    </row>
    <row r="91" spans="1:8" x14ac:dyDescent="0.2">
      <c r="A91" t="s">
        <v>278</v>
      </c>
      <c r="B91" t="s">
        <v>260</v>
      </c>
      <c r="C91" s="2" t="s">
        <v>279</v>
      </c>
      <c r="D91" s="2" t="s">
        <v>13</v>
      </c>
      <c r="E91">
        <v>300</v>
      </c>
      <c r="F91">
        <v>72.349999999999994</v>
      </c>
      <c r="G91" s="1">
        <v>46037</v>
      </c>
      <c r="H91" s="2" t="s">
        <v>10</v>
      </c>
    </row>
    <row r="92" spans="1:8" x14ac:dyDescent="0.2">
      <c r="A92" t="s">
        <v>280</v>
      </c>
      <c r="B92" t="s">
        <v>281</v>
      </c>
      <c r="C92" s="2" t="s">
        <v>282</v>
      </c>
      <c r="D92" s="2" t="s">
        <v>9</v>
      </c>
      <c r="E92">
        <v>250</v>
      </c>
      <c r="F92">
        <v>385.6</v>
      </c>
      <c r="G92" s="1">
        <v>46038</v>
      </c>
      <c r="H92" s="2" t="s">
        <v>10</v>
      </c>
    </row>
    <row r="93" spans="1:8" x14ac:dyDescent="0.2">
      <c r="A93" t="s">
        <v>283</v>
      </c>
      <c r="B93" t="s">
        <v>281</v>
      </c>
      <c r="C93" s="2" t="s">
        <v>284</v>
      </c>
      <c r="D93" s="2" t="s">
        <v>13</v>
      </c>
      <c r="E93">
        <v>150</v>
      </c>
      <c r="F93">
        <v>985.4</v>
      </c>
      <c r="G93" s="1">
        <v>46038</v>
      </c>
      <c r="H93" s="2" t="s">
        <v>10</v>
      </c>
    </row>
    <row r="94" spans="1:8" x14ac:dyDescent="0.2">
      <c r="A94" t="s">
        <v>285</v>
      </c>
      <c r="B94" t="s">
        <v>281</v>
      </c>
      <c r="C94" s="2" t="s">
        <v>286</v>
      </c>
      <c r="D94" s="2" t="s">
        <v>9</v>
      </c>
      <c r="E94">
        <v>700</v>
      </c>
      <c r="F94">
        <v>142.80000000000001</v>
      </c>
      <c r="G94" s="1">
        <v>46038</v>
      </c>
      <c r="H94" s="2" t="s">
        <v>10</v>
      </c>
    </row>
    <row r="95" spans="1:8" x14ac:dyDescent="0.2">
      <c r="A95" t="s">
        <v>287</v>
      </c>
      <c r="B95" t="s">
        <v>281</v>
      </c>
      <c r="C95" s="2" t="s">
        <v>288</v>
      </c>
      <c r="D95" s="2" t="s">
        <v>13</v>
      </c>
      <c r="E95">
        <v>800</v>
      </c>
      <c r="F95">
        <v>62.45</v>
      </c>
      <c r="G95" s="1">
        <v>46038</v>
      </c>
      <c r="H95" s="2" t="s">
        <v>10</v>
      </c>
    </row>
    <row r="96" spans="1:8" x14ac:dyDescent="0.2">
      <c r="A96" t="s">
        <v>289</v>
      </c>
      <c r="B96" t="s">
        <v>281</v>
      </c>
      <c r="C96" s="2" t="s">
        <v>290</v>
      </c>
      <c r="D96" s="2" t="s">
        <v>9</v>
      </c>
      <c r="E96">
        <v>500</v>
      </c>
      <c r="F96">
        <v>38.9</v>
      </c>
      <c r="G96" s="1">
        <v>46038</v>
      </c>
      <c r="H96" s="2" t="s">
        <v>10</v>
      </c>
    </row>
    <row r="97" spans="1:8" x14ac:dyDescent="0.2">
      <c r="A97" t="s">
        <v>291</v>
      </c>
      <c r="B97" t="s">
        <v>281</v>
      </c>
      <c r="C97" s="2" t="s">
        <v>292</v>
      </c>
      <c r="D97" s="2" t="s">
        <v>13</v>
      </c>
      <c r="E97">
        <v>600</v>
      </c>
      <c r="F97">
        <v>22.7</v>
      </c>
      <c r="G97" s="1">
        <v>46038</v>
      </c>
      <c r="H97" s="2" t="s">
        <v>10</v>
      </c>
    </row>
    <row r="98" spans="1:8" x14ac:dyDescent="0.2">
      <c r="A98" t="s">
        <v>293</v>
      </c>
      <c r="B98" t="s">
        <v>281</v>
      </c>
      <c r="C98" s="2" t="s">
        <v>294</v>
      </c>
      <c r="D98" s="2" t="s">
        <v>9</v>
      </c>
      <c r="E98">
        <v>400</v>
      </c>
      <c r="F98">
        <v>78.25</v>
      </c>
      <c r="G98" s="1">
        <v>46038</v>
      </c>
      <c r="H98" s="2" t="s">
        <v>10</v>
      </c>
    </row>
    <row r="99" spans="1:8" x14ac:dyDescent="0.2">
      <c r="A99" t="s">
        <v>295</v>
      </c>
      <c r="B99" t="s">
        <v>281</v>
      </c>
      <c r="C99" s="2" t="s">
        <v>296</v>
      </c>
      <c r="D99" s="2" t="s">
        <v>13</v>
      </c>
      <c r="E99">
        <v>350</v>
      </c>
      <c r="F99">
        <v>108.6</v>
      </c>
      <c r="G99" s="1">
        <v>46038</v>
      </c>
      <c r="H99" s="2" t="s">
        <v>10</v>
      </c>
    </row>
    <row r="100" spans="1:8" x14ac:dyDescent="0.2">
      <c r="A100" t="s">
        <v>297</v>
      </c>
      <c r="B100" t="s">
        <v>281</v>
      </c>
      <c r="C100" s="2" t="s">
        <v>298</v>
      </c>
      <c r="D100" s="2" t="s">
        <v>9</v>
      </c>
      <c r="E100">
        <v>200</v>
      </c>
      <c r="F100">
        <v>142.35</v>
      </c>
      <c r="G100" s="1">
        <v>46038</v>
      </c>
      <c r="H100" s="2" t="s">
        <v>10</v>
      </c>
    </row>
    <row r="101" spans="1:8" x14ac:dyDescent="0.2">
      <c r="A101" t="s">
        <v>299</v>
      </c>
      <c r="B101" t="s">
        <v>281</v>
      </c>
      <c r="C101" s="2" t="s">
        <v>300</v>
      </c>
      <c r="D101" s="2" t="s">
        <v>13</v>
      </c>
      <c r="E101">
        <v>100</v>
      </c>
      <c r="F101">
        <v>312.89999999999998</v>
      </c>
      <c r="G101" s="1">
        <v>46038</v>
      </c>
      <c r="H10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837E-F365-BD4D-B846-127AFB6835F2}">
  <sheetPr>
    <tabColor theme="7"/>
  </sheetPr>
  <dimension ref="A1:H99"/>
  <sheetViews>
    <sheetView showGridLines="0" workbookViewId="0">
      <pane ySplit="1" topLeftCell="A2" activePane="bottomLeft" state="frozen"/>
      <selection pane="bottomLeft" activeCell="L8" sqref="L8"/>
    </sheetView>
  </sheetViews>
  <sheetFormatPr baseColWidth="10" defaultRowHeight="16" x14ac:dyDescent="0.2"/>
  <cols>
    <col min="1" max="1" width="12.1640625" bestFit="1" customWidth="1"/>
    <col min="2" max="2" width="12" style="2" bestFit="1" customWidth="1"/>
    <col min="3" max="3" width="10.6640625" style="2" customWidth="1"/>
    <col min="4" max="6" width="10.83203125" style="2"/>
    <col min="7" max="7" width="17.33203125" bestFit="1" customWidth="1"/>
    <col min="8" max="8" width="11.83203125" style="2" customWidth="1"/>
  </cols>
  <sheetData>
    <row r="1" spans="1:8" ht="19" x14ac:dyDescent="0.25">
      <c r="A1" s="16" t="s">
        <v>41</v>
      </c>
      <c r="B1" s="16" t="s">
        <v>1</v>
      </c>
      <c r="C1" s="16" t="s">
        <v>2</v>
      </c>
      <c r="D1" s="16" t="s">
        <v>3</v>
      </c>
      <c r="E1" s="16" t="s">
        <v>42</v>
      </c>
      <c r="F1" s="16" t="s">
        <v>43</v>
      </c>
      <c r="G1" s="16" t="s">
        <v>5</v>
      </c>
      <c r="H1" s="16" t="s">
        <v>6</v>
      </c>
    </row>
    <row r="2" spans="1:8" x14ac:dyDescent="0.2">
      <c r="A2" t="s">
        <v>44</v>
      </c>
      <c r="B2" s="21">
        <v>46027</v>
      </c>
      <c r="C2" s="2" t="s">
        <v>8</v>
      </c>
      <c r="D2" s="2" t="s">
        <v>9</v>
      </c>
      <c r="E2" s="2">
        <v>1000</v>
      </c>
      <c r="F2" s="2">
        <v>175.5</v>
      </c>
      <c r="G2" s="1">
        <v>46029</v>
      </c>
      <c r="H2" s="2" t="s">
        <v>10</v>
      </c>
    </row>
    <row r="3" spans="1:8" x14ac:dyDescent="0.2">
      <c r="A3" t="s">
        <v>45</v>
      </c>
      <c r="B3" s="21">
        <v>46027</v>
      </c>
      <c r="C3" s="2" t="s">
        <v>12</v>
      </c>
      <c r="D3" s="2" t="s">
        <v>13</v>
      </c>
      <c r="E3" s="2">
        <v>499</v>
      </c>
      <c r="F3" s="2">
        <v>420.25</v>
      </c>
      <c r="G3" s="1">
        <v>46029</v>
      </c>
      <c r="H3" s="2" t="s">
        <v>10</v>
      </c>
    </row>
    <row r="4" spans="1:8" x14ac:dyDescent="0.2">
      <c r="A4" t="s">
        <v>46</v>
      </c>
      <c r="B4" s="21">
        <v>46027</v>
      </c>
      <c r="C4" s="2" t="s">
        <v>15</v>
      </c>
      <c r="D4" s="2" t="s">
        <v>9</v>
      </c>
      <c r="E4" s="2">
        <v>300</v>
      </c>
      <c r="F4" s="2">
        <v>142.80000000000001</v>
      </c>
      <c r="G4" s="1">
        <v>46029</v>
      </c>
      <c r="H4" s="2" t="s">
        <v>10</v>
      </c>
    </row>
    <row r="5" spans="1:8" x14ac:dyDescent="0.2">
      <c r="A5" t="s">
        <v>47</v>
      </c>
      <c r="B5" s="21">
        <v>46027</v>
      </c>
      <c r="C5" s="2" t="s">
        <v>17</v>
      </c>
      <c r="D5" s="2" t="s">
        <v>9</v>
      </c>
      <c r="E5" s="2">
        <v>750</v>
      </c>
      <c r="F5" s="2">
        <v>245.85</v>
      </c>
      <c r="G5" s="1">
        <v>46029</v>
      </c>
      <c r="H5" s="2" t="s">
        <v>10</v>
      </c>
    </row>
    <row r="6" spans="1:8" x14ac:dyDescent="0.2">
      <c r="A6" t="s">
        <v>48</v>
      </c>
      <c r="B6" s="21">
        <v>46027</v>
      </c>
      <c r="C6" s="2" t="s">
        <v>19</v>
      </c>
      <c r="D6" s="2" t="s">
        <v>13</v>
      </c>
      <c r="E6" s="2">
        <v>200</v>
      </c>
      <c r="F6" s="2">
        <v>158.9</v>
      </c>
      <c r="G6" s="1">
        <v>46029</v>
      </c>
      <c r="H6" s="2" t="s">
        <v>10</v>
      </c>
    </row>
    <row r="7" spans="1:8" x14ac:dyDescent="0.2">
      <c r="A7" t="s">
        <v>49</v>
      </c>
      <c r="B7" s="21">
        <v>46027</v>
      </c>
      <c r="C7" s="2" t="s">
        <v>21</v>
      </c>
      <c r="D7" s="2" t="s">
        <v>9</v>
      </c>
      <c r="E7" s="2">
        <v>400</v>
      </c>
      <c r="F7" s="2">
        <v>880</v>
      </c>
      <c r="G7" s="1">
        <v>46029</v>
      </c>
      <c r="H7" s="2" t="s">
        <v>10</v>
      </c>
    </row>
    <row r="8" spans="1:8" x14ac:dyDescent="0.2">
      <c r="A8" t="s">
        <v>50</v>
      </c>
      <c r="B8" s="21">
        <v>46027</v>
      </c>
      <c r="C8" s="2" t="s">
        <v>24</v>
      </c>
      <c r="D8" s="2" t="s">
        <v>13</v>
      </c>
      <c r="E8" s="2">
        <v>600</v>
      </c>
      <c r="F8" s="2">
        <v>485.3</v>
      </c>
      <c r="G8" s="1">
        <v>46029</v>
      </c>
      <c r="H8" s="2" t="s">
        <v>10</v>
      </c>
    </row>
    <row r="9" spans="1:8" x14ac:dyDescent="0.2">
      <c r="A9" t="s">
        <v>51</v>
      </c>
      <c r="B9" s="21">
        <v>46027</v>
      </c>
      <c r="C9" s="2" t="s">
        <v>26</v>
      </c>
      <c r="D9" s="2" t="s">
        <v>9</v>
      </c>
      <c r="E9" s="2">
        <v>350</v>
      </c>
      <c r="F9" s="2">
        <v>178.45</v>
      </c>
      <c r="G9" s="1">
        <v>46029</v>
      </c>
      <c r="H9" s="2" t="s">
        <v>10</v>
      </c>
    </row>
    <row r="10" spans="1:8" x14ac:dyDescent="0.2">
      <c r="A10" t="s">
        <v>52</v>
      </c>
      <c r="B10" s="21">
        <v>46027</v>
      </c>
      <c r="C10" s="2" t="s">
        <v>28</v>
      </c>
      <c r="D10" s="2" t="s">
        <v>9</v>
      </c>
      <c r="E10" s="2">
        <v>150</v>
      </c>
      <c r="F10" s="2">
        <v>420.75</v>
      </c>
      <c r="G10" s="1">
        <v>46029</v>
      </c>
      <c r="H10" s="2" t="s">
        <v>10</v>
      </c>
    </row>
    <row r="11" spans="1:8" x14ac:dyDescent="0.2">
      <c r="A11" t="s">
        <v>53</v>
      </c>
      <c r="B11" s="21">
        <v>46027</v>
      </c>
      <c r="C11" s="2" t="s">
        <v>30</v>
      </c>
      <c r="D11" s="2" t="s">
        <v>13</v>
      </c>
      <c r="E11" s="2">
        <v>500</v>
      </c>
      <c r="F11" s="2">
        <v>275.2</v>
      </c>
      <c r="G11" s="1">
        <v>46029</v>
      </c>
      <c r="H11" s="2" t="s">
        <v>10</v>
      </c>
    </row>
    <row r="12" spans="1:8" x14ac:dyDescent="0.2">
      <c r="A12" t="s">
        <v>54</v>
      </c>
      <c r="B12" s="21">
        <v>46058</v>
      </c>
      <c r="C12" s="2" t="s">
        <v>34</v>
      </c>
      <c r="D12" s="2" t="s">
        <v>13</v>
      </c>
      <c r="E12" s="2">
        <v>400</v>
      </c>
      <c r="F12" s="2">
        <v>625.79999999999995</v>
      </c>
      <c r="G12" s="1">
        <v>46030</v>
      </c>
      <c r="H12" s="2" t="s">
        <v>10</v>
      </c>
    </row>
    <row r="13" spans="1:8" x14ac:dyDescent="0.2">
      <c r="A13" t="s">
        <v>55</v>
      </c>
      <c r="B13" s="21">
        <v>46058</v>
      </c>
      <c r="C13" s="2" t="s">
        <v>36</v>
      </c>
      <c r="D13" s="2" t="s">
        <v>9</v>
      </c>
      <c r="E13" s="2">
        <v>798</v>
      </c>
      <c r="F13" s="2">
        <v>112.4</v>
      </c>
      <c r="G13" s="1">
        <v>46030</v>
      </c>
      <c r="H13" s="2" t="s">
        <v>10</v>
      </c>
    </row>
    <row r="14" spans="1:8" x14ac:dyDescent="0.2">
      <c r="A14" t="s">
        <v>56</v>
      </c>
      <c r="B14" s="21">
        <v>46058</v>
      </c>
      <c r="C14" s="2" t="s">
        <v>38</v>
      </c>
      <c r="D14" s="2" t="s">
        <v>9</v>
      </c>
      <c r="E14" s="2">
        <v>300</v>
      </c>
      <c r="F14" s="2">
        <v>178.9</v>
      </c>
      <c r="G14" s="1">
        <v>46030</v>
      </c>
      <c r="H14" s="2" t="s">
        <v>10</v>
      </c>
    </row>
    <row r="15" spans="1:8" x14ac:dyDescent="0.2">
      <c r="A15" t="s">
        <v>57</v>
      </c>
      <c r="B15" s="21">
        <v>46058</v>
      </c>
      <c r="C15" s="2" t="s">
        <v>40</v>
      </c>
      <c r="D15" s="2" t="s">
        <v>13</v>
      </c>
      <c r="E15" s="2">
        <v>1000</v>
      </c>
      <c r="F15" s="2">
        <v>138.25</v>
      </c>
      <c r="G15" s="1">
        <v>46030</v>
      </c>
      <c r="H15" s="2" t="s">
        <v>10</v>
      </c>
    </row>
    <row r="16" spans="1:8" x14ac:dyDescent="0.2">
      <c r="A16" t="s">
        <v>58</v>
      </c>
      <c r="B16" s="21">
        <v>46058</v>
      </c>
      <c r="C16" s="2" t="s">
        <v>59</v>
      </c>
      <c r="D16" s="2" t="s">
        <v>9</v>
      </c>
      <c r="E16" s="2">
        <v>500</v>
      </c>
      <c r="F16" s="2">
        <v>285.60000000000002</v>
      </c>
      <c r="G16" s="1">
        <v>46030</v>
      </c>
      <c r="H16" s="2" t="s">
        <v>10</v>
      </c>
    </row>
    <row r="17" spans="1:8" x14ac:dyDescent="0.2">
      <c r="A17" t="s">
        <v>301</v>
      </c>
      <c r="B17" s="21">
        <v>46058</v>
      </c>
      <c r="C17" s="2" t="s">
        <v>132</v>
      </c>
      <c r="D17" s="2" t="s">
        <v>9</v>
      </c>
      <c r="E17" s="2">
        <v>900</v>
      </c>
      <c r="F17" s="2">
        <v>165.4</v>
      </c>
      <c r="G17" s="1">
        <v>46030</v>
      </c>
      <c r="H17" s="2" t="s">
        <v>10</v>
      </c>
    </row>
    <row r="18" spans="1:8" x14ac:dyDescent="0.2">
      <c r="A18" t="s">
        <v>302</v>
      </c>
      <c r="B18" s="21">
        <v>46058</v>
      </c>
      <c r="C18" s="2" t="s">
        <v>134</v>
      </c>
      <c r="D18" s="2" t="s">
        <v>13</v>
      </c>
      <c r="E18" s="2">
        <v>400</v>
      </c>
      <c r="F18" s="2">
        <v>45.8</v>
      </c>
      <c r="G18" s="1">
        <v>46030</v>
      </c>
      <c r="H18" s="2" t="s">
        <v>10</v>
      </c>
    </row>
    <row r="19" spans="1:8" x14ac:dyDescent="0.2">
      <c r="A19" t="s">
        <v>303</v>
      </c>
      <c r="B19" s="21">
        <v>46058</v>
      </c>
      <c r="C19" s="2" t="s">
        <v>136</v>
      </c>
      <c r="D19" s="2" t="s">
        <v>9</v>
      </c>
      <c r="E19" s="2">
        <v>350</v>
      </c>
      <c r="F19" s="2">
        <v>78.349999999999994</v>
      </c>
      <c r="G19" s="1">
        <v>46030</v>
      </c>
      <c r="H19" s="2" t="s">
        <v>10</v>
      </c>
    </row>
    <row r="20" spans="1:8" x14ac:dyDescent="0.2">
      <c r="A20" t="s">
        <v>304</v>
      </c>
      <c r="B20" s="21">
        <v>46058</v>
      </c>
      <c r="C20" s="2" t="s">
        <v>138</v>
      </c>
      <c r="D20" s="2" t="s">
        <v>13</v>
      </c>
      <c r="E20" s="2">
        <v>600</v>
      </c>
      <c r="F20" s="2">
        <v>72.150000000000006</v>
      </c>
      <c r="G20" s="1">
        <v>46030</v>
      </c>
      <c r="H20" s="2" t="s">
        <v>10</v>
      </c>
    </row>
    <row r="21" spans="1:8" x14ac:dyDescent="0.2">
      <c r="A21" t="s">
        <v>305</v>
      </c>
      <c r="B21" s="21">
        <v>46147</v>
      </c>
      <c r="C21" s="2" t="s">
        <v>140</v>
      </c>
      <c r="D21" s="2" t="s">
        <v>9</v>
      </c>
      <c r="E21" s="2">
        <v>800</v>
      </c>
      <c r="F21" s="2">
        <v>28.9</v>
      </c>
      <c r="G21" s="1">
        <v>46031</v>
      </c>
      <c r="H21" s="2" t="s">
        <v>10</v>
      </c>
    </row>
    <row r="22" spans="1:8" x14ac:dyDescent="0.2">
      <c r="A22" t="s">
        <v>306</v>
      </c>
      <c r="B22" s="21">
        <v>46147</v>
      </c>
      <c r="C22" s="2" t="s">
        <v>142</v>
      </c>
      <c r="D22" s="2" t="s">
        <v>9</v>
      </c>
      <c r="E22" s="2">
        <v>450</v>
      </c>
      <c r="F22" s="2">
        <v>162.30000000000001</v>
      </c>
      <c r="G22" s="1">
        <v>46031</v>
      </c>
      <c r="H22" s="2" t="s">
        <v>10</v>
      </c>
    </row>
    <row r="23" spans="1:8" x14ac:dyDescent="0.2">
      <c r="A23" t="s">
        <v>307</v>
      </c>
      <c r="B23" s="21">
        <v>46147</v>
      </c>
      <c r="C23" s="2" t="s">
        <v>144</v>
      </c>
      <c r="D23" s="2" t="s">
        <v>13</v>
      </c>
      <c r="E23" s="2">
        <v>550</v>
      </c>
      <c r="F23" s="2">
        <v>118.6</v>
      </c>
      <c r="G23" s="1">
        <v>46031</v>
      </c>
      <c r="H23" s="2" t="s">
        <v>10</v>
      </c>
    </row>
    <row r="24" spans="1:8" x14ac:dyDescent="0.2">
      <c r="A24" t="s">
        <v>308</v>
      </c>
      <c r="B24" s="21">
        <v>46147</v>
      </c>
      <c r="C24" s="2" t="s">
        <v>146</v>
      </c>
      <c r="D24" s="2" t="s">
        <v>9</v>
      </c>
      <c r="E24" s="2">
        <v>300</v>
      </c>
      <c r="F24" s="2">
        <v>158.4</v>
      </c>
      <c r="G24" s="1">
        <v>46031</v>
      </c>
      <c r="H24" s="2" t="s">
        <v>10</v>
      </c>
    </row>
    <row r="25" spans="1:8" x14ac:dyDescent="0.2">
      <c r="A25" t="s">
        <v>309</v>
      </c>
      <c r="B25" s="21">
        <v>46147</v>
      </c>
      <c r="C25" s="2" t="s">
        <v>148</v>
      </c>
      <c r="D25" s="2" t="s">
        <v>13</v>
      </c>
      <c r="E25" s="2">
        <v>698</v>
      </c>
      <c r="F25" s="2">
        <v>165.8</v>
      </c>
      <c r="G25" s="1">
        <v>46031</v>
      </c>
      <c r="H25" s="2" t="s">
        <v>10</v>
      </c>
    </row>
    <row r="26" spans="1:8" x14ac:dyDescent="0.2">
      <c r="A26" t="s">
        <v>310</v>
      </c>
      <c r="B26" s="21">
        <v>46147</v>
      </c>
      <c r="C26" s="2" t="s">
        <v>150</v>
      </c>
      <c r="D26" s="2" t="s">
        <v>9</v>
      </c>
      <c r="E26" s="2">
        <v>250</v>
      </c>
      <c r="F26" s="2">
        <v>385.2</v>
      </c>
      <c r="G26" s="1">
        <v>46031</v>
      </c>
      <c r="H26" s="2" t="s">
        <v>10</v>
      </c>
    </row>
    <row r="27" spans="1:8" x14ac:dyDescent="0.2">
      <c r="A27" t="s">
        <v>311</v>
      </c>
      <c r="B27" s="21">
        <v>46147</v>
      </c>
      <c r="C27" s="2" t="s">
        <v>152</v>
      </c>
      <c r="D27" s="2" t="s">
        <v>9</v>
      </c>
      <c r="E27" s="2">
        <v>180</v>
      </c>
      <c r="F27" s="2">
        <v>512.4</v>
      </c>
      <c r="G27" s="1">
        <v>46031</v>
      </c>
      <c r="H27" s="2" t="s">
        <v>10</v>
      </c>
    </row>
    <row r="28" spans="1:8" x14ac:dyDescent="0.2">
      <c r="A28" t="s">
        <v>312</v>
      </c>
      <c r="B28" s="21">
        <v>46147</v>
      </c>
      <c r="C28" s="2" t="s">
        <v>154</v>
      </c>
      <c r="D28" s="2" t="s">
        <v>13</v>
      </c>
      <c r="E28" s="2">
        <v>220</v>
      </c>
      <c r="F28" s="2">
        <v>785.6</v>
      </c>
      <c r="G28" s="1">
        <v>46031</v>
      </c>
      <c r="H28" s="2" t="s">
        <v>10</v>
      </c>
    </row>
    <row r="29" spans="1:8" x14ac:dyDescent="0.2">
      <c r="A29" t="s">
        <v>313</v>
      </c>
      <c r="B29" s="21">
        <v>46147</v>
      </c>
      <c r="C29" s="2" t="s">
        <v>156</v>
      </c>
      <c r="D29" s="2" t="s">
        <v>9</v>
      </c>
      <c r="E29" s="2">
        <v>500</v>
      </c>
      <c r="F29" s="2">
        <v>175.3</v>
      </c>
      <c r="G29" s="1">
        <v>46031</v>
      </c>
      <c r="H29" s="2" t="s">
        <v>10</v>
      </c>
    </row>
    <row r="30" spans="1:8" x14ac:dyDescent="0.2">
      <c r="A30" t="s">
        <v>314</v>
      </c>
      <c r="B30" s="21">
        <v>46147</v>
      </c>
      <c r="C30" s="2" t="s">
        <v>158</v>
      </c>
      <c r="D30" s="2" t="s">
        <v>13</v>
      </c>
      <c r="E30" s="2">
        <v>400</v>
      </c>
      <c r="F30" s="2">
        <v>172.9</v>
      </c>
      <c r="G30" s="1">
        <v>46031</v>
      </c>
      <c r="H30" s="2" t="s">
        <v>10</v>
      </c>
    </row>
    <row r="31" spans="1:8" x14ac:dyDescent="0.2">
      <c r="A31" t="s">
        <v>315</v>
      </c>
      <c r="B31" s="21">
        <v>46178</v>
      </c>
      <c r="C31" s="2" t="s">
        <v>160</v>
      </c>
      <c r="D31" s="2" t="s">
        <v>9</v>
      </c>
      <c r="E31" s="2">
        <v>900</v>
      </c>
      <c r="F31" s="2">
        <v>64.5</v>
      </c>
      <c r="G31" s="1">
        <v>46032</v>
      </c>
      <c r="H31" s="2" t="s">
        <v>10</v>
      </c>
    </row>
    <row r="32" spans="1:8" x14ac:dyDescent="0.2">
      <c r="A32" t="s">
        <v>316</v>
      </c>
      <c r="B32" s="21">
        <v>46178</v>
      </c>
      <c r="C32" s="2" t="s">
        <v>162</v>
      </c>
      <c r="D32" s="2" t="s">
        <v>13</v>
      </c>
      <c r="E32" s="2">
        <v>300</v>
      </c>
      <c r="F32" s="2">
        <v>295.7</v>
      </c>
      <c r="G32" s="1">
        <v>46032</v>
      </c>
      <c r="H32" s="2" t="s">
        <v>10</v>
      </c>
    </row>
    <row r="33" spans="1:8" x14ac:dyDescent="0.2">
      <c r="A33" t="s">
        <v>317</v>
      </c>
      <c r="B33" s="21">
        <v>46178</v>
      </c>
      <c r="C33" s="2" t="s">
        <v>164</v>
      </c>
      <c r="D33" s="2" t="s">
        <v>9</v>
      </c>
      <c r="E33" s="2">
        <v>650</v>
      </c>
      <c r="F33" s="2">
        <v>108.4</v>
      </c>
      <c r="G33" s="1">
        <v>46032</v>
      </c>
      <c r="H33" s="2" t="s">
        <v>10</v>
      </c>
    </row>
    <row r="34" spans="1:8" x14ac:dyDescent="0.2">
      <c r="A34" t="s">
        <v>318</v>
      </c>
      <c r="B34" s="21">
        <v>46178</v>
      </c>
      <c r="C34" s="2" t="s">
        <v>166</v>
      </c>
      <c r="D34" s="2" t="s">
        <v>9</v>
      </c>
      <c r="E34" s="2">
        <v>200</v>
      </c>
      <c r="F34" s="2">
        <v>865.3</v>
      </c>
      <c r="G34" s="1">
        <v>46032</v>
      </c>
      <c r="H34" s="2" t="s">
        <v>10</v>
      </c>
    </row>
    <row r="35" spans="1:8" x14ac:dyDescent="0.2">
      <c r="A35" t="s">
        <v>319</v>
      </c>
      <c r="B35" s="21">
        <v>46178</v>
      </c>
      <c r="C35" s="2" t="s">
        <v>168</v>
      </c>
      <c r="D35" s="2" t="s">
        <v>13</v>
      </c>
      <c r="E35" s="2">
        <v>550</v>
      </c>
      <c r="F35" s="2">
        <v>98.75</v>
      </c>
      <c r="G35" s="1">
        <v>46032</v>
      </c>
      <c r="H35" s="2" t="s">
        <v>10</v>
      </c>
    </row>
    <row r="36" spans="1:8" x14ac:dyDescent="0.2">
      <c r="A36" t="s">
        <v>320</v>
      </c>
      <c r="B36" s="21">
        <v>46178</v>
      </c>
      <c r="C36" s="2" t="s">
        <v>170</v>
      </c>
      <c r="D36" s="2" t="s">
        <v>9</v>
      </c>
      <c r="E36" s="2">
        <v>450</v>
      </c>
      <c r="F36" s="2">
        <v>152.6</v>
      </c>
      <c r="G36" s="1">
        <v>46032</v>
      </c>
      <c r="H36" s="2" t="s">
        <v>10</v>
      </c>
    </row>
    <row r="37" spans="1:8" x14ac:dyDescent="0.2">
      <c r="A37" t="s">
        <v>321</v>
      </c>
      <c r="B37" s="21">
        <v>46178</v>
      </c>
      <c r="C37" s="2" t="s">
        <v>172</v>
      </c>
      <c r="D37" s="2" t="s">
        <v>13</v>
      </c>
      <c r="E37" s="2">
        <v>280</v>
      </c>
      <c r="F37" s="2">
        <v>248.9</v>
      </c>
      <c r="G37" s="1">
        <v>46032</v>
      </c>
      <c r="H37" s="2" t="s">
        <v>10</v>
      </c>
    </row>
    <row r="38" spans="1:8" x14ac:dyDescent="0.2">
      <c r="A38" t="s">
        <v>322</v>
      </c>
      <c r="B38" s="21">
        <v>46178</v>
      </c>
      <c r="C38" s="2" t="s">
        <v>174</v>
      </c>
      <c r="D38" s="2" t="s">
        <v>9</v>
      </c>
      <c r="E38" s="2">
        <v>318</v>
      </c>
      <c r="F38" s="2">
        <v>385.4</v>
      </c>
      <c r="G38" s="1">
        <v>46032</v>
      </c>
      <c r="H38" s="2" t="s">
        <v>10</v>
      </c>
    </row>
    <row r="39" spans="1:8" x14ac:dyDescent="0.2">
      <c r="A39" t="s">
        <v>323</v>
      </c>
      <c r="B39" s="21">
        <v>46178</v>
      </c>
      <c r="C39" s="2" t="s">
        <v>176</v>
      </c>
      <c r="D39" s="2" t="s">
        <v>9</v>
      </c>
      <c r="E39" s="2">
        <v>190</v>
      </c>
      <c r="F39" s="2">
        <v>412.8</v>
      </c>
      <c r="G39" s="1">
        <v>46032</v>
      </c>
      <c r="H39" s="2" t="s">
        <v>10</v>
      </c>
    </row>
    <row r="40" spans="1:8" x14ac:dyDescent="0.2">
      <c r="A40" t="s">
        <v>324</v>
      </c>
      <c r="B40" s="21">
        <v>46178</v>
      </c>
      <c r="C40" s="2" t="s">
        <v>178</v>
      </c>
      <c r="D40" s="2" t="s">
        <v>13</v>
      </c>
      <c r="E40" s="2">
        <v>400</v>
      </c>
      <c r="F40" s="2">
        <v>125.7</v>
      </c>
      <c r="G40" s="1">
        <v>46032</v>
      </c>
      <c r="H40" s="2" t="s">
        <v>10</v>
      </c>
    </row>
    <row r="41" spans="1:8" x14ac:dyDescent="0.2">
      <c r="A41" t="s">
        <v>325</v>
      </c>
      <c r="B41" s="21">
        <v>46208</v>
      </c>
      <c r="C41" s="2" t="s">
        <v>182</v>
      </c>
      <c r="D41" s="2" t="s">
        <v>13</v>
      </c>
      <c r="E41" s="2">
        <v>500</v>
      </c>
      <c r="F41" s="2">
        <v>108.9</v>
      </c>
      <c r="G41" s="1">
        <v>46033</v>
      </c>
      <c r="H41" s="2" t="s">
        <v>10</v>
      </c>
    </row>
    <row r="42" spans="1:8" x14ac:dyDescent="0.2">
      <c r="A42" t="s">
        <v>326</v>
      </c>
      <c r="B42" s="21">
        <v>46208</v>
      </c>
      <c r="C42" s="2" t="s">
        <v>184</v>
      </c>
      <c r="D42" s="2" t="s">
        <v>9</v>
      </c>
      <c r="E42" s="2">
        <v>150</v>
      </c>
      <c r="F42" s="2">
        <v>565.20000000000005</v>
      </c>
      <c r="G42" s="1">
        <v>46033</v>
      </c>
      <c r="H42" s="2" t="s">
        <v>10</v>
      </c>
    </row>
    <row r="43" spans="1:8" x14ac:dyDescent="0.2">
      <c r="A43" t="s">
        <v>327</v>
      </c>
      <c r="B43" s="21">
        <v>46208</v>
      </c>
      <c r="C43" s="2" t="s">
        <v>186</v>
      </c>
      <c r="D43" s="2" t="s">
        <v>9</v>
      </c>
      <c r="E43" s="2">
        <v>800</v>
      </c>
      <c r="F43" s="2">
        <v>172.45</v>
      </c>
      <c r="G43" s="1">
        <v>46033</v>
      </c>
      <c r="H43" s="2" t="s">
        <v>10</v>
      </c>
    </row>
    <row r="44" spans="1:8" x14ac:dyDescent="0.2">
      <c r="A44" t="s">
        <v>328</v>
      </c>
      <c r="B44" s="21">
        <v>46208</v>
      </c>
      <c r="C44" s="2" t="s">
        <v>188</v>
      </c>
      <c r="D44" s="2" t="s">
        <v>13</v>
      </c>
      <c r="E44" s="2">
        <v>1200</v>
      </c>
      <c r="F44" s="2">
        <v>12.85</v>
      </c>
      <c r="G44" s="1">
        <v>46033</v>
      </c>
      <c r="H44" s="2" t="s">
        <v>10</v>
      </c>
    </row>
    <row r="45" spans="1:8" x14ac:dyDescent="0.2">
      <c r="A45" t="s">
        <v>329</v>
      </c>
      <c r="B45" s="21">
        <v>46208</v>
      </c>
      <c r="C45" s="2" t="s">
        <v>190</v>
      </c>
      <c r="D45" s="2" t="s">
        <v>9</v>
      </c>
      <c r="E45" s="2">
        <v>700</v>
      </c>
      <c r="F45" s="2">
        <v>45.6</v>
      </c>
      <c r="G45" s="1">
        <v>46033</v>
      </c>
      <c r="H45" s="2" t="s">
        <v>10</v>
      </c>
    </row>
    <row r="46" spans="1:8" x14ac:dyDescent="0.2">
      <c r="A46" t="s">
        <v>330</v>
      </c>
      <c r="B46" s="21">
        <v>46208</v>
      </c>
      <c r="C46" s="2" t="s">
        <v>192</v>
      </c>
      <c r="D46" s="2" t="s">
        <v>13</v>
      </c>
      <c r="E46" s="2">
        <v>500</v>
      </c>
      <c r="F46" s="2">
        <v>18.25</v>
      </c>
      <c r="G46" s="1">
        <v>46033</v>
      </c>
      <c r="H46" s="2" t="s">
        <v>10</v>
      </c>
    </row>
    <row r="47" spans="1:8" x14ac:dyDescent="0.2">
      <c r="A47" t="s">
        <v>331</v>
      </c>
      <c r="B47" s="21">
        <v>46208</v>
      </c>
      <c r="C47" s="2" t="s">
        <v>194</v>
      </c>
      <c r="D47" s="2" t="s">
        <v>9</v>
      </c>
      <c r="E47" s="2">
        <v>900</v>
      </c>
      <c r="F47" s="2">
        <v>3.45</v>
      </c>
      <c r="G47" s="1">
        <v>46033</v>
      </c>
      <c r="H47" s="2" t="s">
        <v>10</v>
      </c>
    </row>
    <row r="48" spans="1:8" x14ac:dyDescent="0.2">
      <c r="A48" t="s">
        <v>332</v>
      </c>
      <c r="B48" s="21">
        <v>46208</v>
      </c>
      <c r="C48" s="2" t="s">
        <v>196</v>
      </c>
      <c r="D48" s="2" t="s">
        <v>13</v>
      </c>
      <c r="E48" s="2">
        <v>595</v>
      </c>
      <c r="F48" s="2">
        <v>7.8</v>
      </c>
      <c r="G48" s="1">
        <v>46033</v>
      </c>
      <c r="H48" s="2" t="s">
        <v>10</v>
      </c>
    </row>
    <row r="49" spans="1:8" x14ac:dyDescent="0.2">
      <c r="A49" t="s">
        <v>333</v>
      </c>
      <c r="B49" s="21">
        <v>46208</v>
      </c>
      <c r="C49" s="2" t="s">
        <v>198</v>
      </c>
      <c r="D49" s="2" t="s">
        <v>9</v>
      </c>
      <c r="E49" s="2">
        <v>550</v>
      </c>
      <c r="F49" s="2">
        <v>11.25</v>
      </c>
      <c r="G49" s="1">
        <v>46033</v>
      </c>
      <c r="H49" s="2" t="s">
        <v>10</v>
      </c>
    </row>
    <row r="50" spans="1:8" x14ac:dyDescent="0.2">
      <c r="A50" t="s">
        <v>334</v>
      </c>
      <c r="B50" s="21">
        <v>46239</v>
      </c>
      <c r="C50" s="2" t="s">
        <v>200</v>
      </c>
      <c r="D50" s="2" t="s">
        <v>9</v>
      </c>
      <c r="E50" s="2">
        <v>400</v>
      </c>
      <c r="F50" s="2">
        <v>88.5</v>
      </c>
      <c r="G50" s="1">
        <v>46034</v>
      </c>
      <c r="H50" s="2" t="s">
        <v>10</v>
      </c>
    </row>
    <row r="51" spans="1:8" x14ac:dyDescent="0.2">
      <c r="A51" t="s">
        <v>335</v>
      </c>
      <c r="B51" s="21">
        <v>46239</v>
      </c>
      <c r="C51" s="2" t="s">
        <v>202</v>
      </c>
      <c r="D51" s="2" t="s">
        <v>13</v>
      </c>
      <c r="E51" s="2">
        <v>350</v>
      </c>
      <c r="F51" s="2">
        <v>125.4</v>
      </c>
      <c r="G51" s="1">
        <v>46034</v>
      </c>
      <c r="H51" s="2" t="s">
        <v>10</v>
      </c>
    </row>
    <row r="52" spans="1:8" x14ac:dyDescent="0.2">
      <c r="A52" t="s">
        <v>336</v>
      </c>
      <c r="B52" s="21">
        <v>46239</v>
      </c>
      <c r="C52" s="2" t="s">
        <v>204</v>
      </c>
      <c r="D52" s="2" t="s">
        <v>9</v>
      </c>
      <c r="E52" s="2">
        <v>600</v>
      </c>
      <c r="F52" s="2">
        <v>38.75</v>
      </c>
      <c r="G52" s="1">
        <v>46034</v>
      </c>
      <c r="H52" s="2" t="s">
        <v>10</v>
      </c>
    </row>
    <row r="53" spans="1:8" x14ac:dyDescent="0.2">
      <c r="A53" t="s">
        <v>337</v>
      </c>
      <c r="B53" s="21">
        <v>46239</v>
      </c>
      <c r="C53" s="2" t="s">
        <v>206</v>
      </c>
      <c r="D53" s="2" t="s">
        <v>9</v>
      </c>
      <c r="E53" s="2">
        <v>500</v>
      </c>
      <c r="F53" s="2">
        <v>165.8</v>
      </c>
      <c r="G53" s="1">
        <v>46034</v>
      </c>
      <c r="H53" s="2" t="s">
        <v>10</v>
      </c>
    </row>
    <row r="54" spans="1:8" x14ac:dyDescent="0.2">
      <c r="A54" t="s">
        <v>338</v>
      </c>
      <c r="B54" s="21">
        <v>46239</v>
      </c>
      <c r="C54" s="2" t="s">
        <v>208</v>
      </c>
      <c r="D54" s="2" t="s">
        <v>13</v>
      </c>
      <c r="E54" s="2">
        <v>100</v>
      </c>
      <c r="F54" s="2">
        <v>985.6</v>
      </c>
      <c r="G54" s="1">
        <v>46034</v>
      </c>
      <c r="H54" s="2" t="s">
        <v>10</v>
      </c>
    </row>
    <row r="55" spans="1:8" x14ac:dyDescent="0.2">
      <c r="A55" t="s">
        <v>339</v>
      </c>
      <c r="B55" s="21">
        <v>46239</v>
      </c>
      <c r="C55" s="2" t="s">
        <v>210</v>
      </c>
      <c r="D55" s="2" t="s">
        <v>9</v>
      </c>
      <c r="E55" s="2">
        <v>250</v>
      </c>
      <c r="F55" s="2">
        <v>198.4</v>
      </c>
      <c r="G55" s="1">
        <v>46034</v>
      </c>
      <c r="H55" s="2" t="s">
        <v>10</v>
      </c>
    </row>
    <row r="56" spans="1:8" x14ac:dyDescent="0.2">
      <c r="A56" t="s">
        <v>340</v>
      </c>
      <c r="B56" s="21">
        <v>46239</v>
      </c>
      <c r="C56" s="2" t="s">
        <v>212</v>
      </c>
      <c r="D56" s="2" t="s">
        <v>13</v>
      </c>
      <c r="E56" s="2">
        <v>400</v>
      </c>
      <c r="F56" s="2">
        <v>75.900000000000006</v>
      </c>
      <c r="G56" s="1">
        <v>46034</v>
      </c>
      <c r="H56" s="2" t="s">
        <v>10</v>
      </c>
    </row>
    <row r="57" spans="1:8" x14ac:dyDescent="0.2">
      <c r="A57" t="s">
        <v>341</v>
      </c>
      <c r="B57" s="21">
        <v>46239</v>
      </c>
      <c r="C57" s="2" t="s">
        <v>214</v>
      </c>
      <c r="D57" s="2" t="s">
        <v>9</v>
      </c>
      <c r="E57" s="2">
        <v>800</v>
      </c>
      <c r="F57" s="2">
        <v>68.25</v>
      </c>
      <c r="G57" s="1">
        <v>46034</v>
      </c>
      <c r="H57" s="2" t="s">
        <v>10</v>
      </c>
    </row>
    <row r="58" spans="1:8" x14ac:dyDescent="0.2">
      <c r="A58" t="s">
        <v>342</v>
      </c>
      <c r="B58" s="21">
        <v>46239</v>
      </c>
      <c r="C58" s="2" t="s">
        <v>216</v>
      </c>
      <c r="D58" s="2" t="s">
        <v>13</v>
      </c>
      <c r="E58" s="2">
        <v>300</v>
      </c>
      <c r="F58" s="2">
        <v>245.7</v>
      </c>
      <c r="G58" s="1">
        <v>46034</v>
      </c>
      <c r="H58" s="2" t="s">
        <v>10</v>
      </c>
    </row>
    <row r="59" spans="1:8" x14ac:dyDescent="0.2">
      <c r="A59" t="s">
        <v>343</v>
      </c>
      <c r="B59" s="21">
        <v>46239</v>
      </c>
      <c r="C59" s="2" t="s">
        <v>218</v>
      </c>
      <c r="D59" s="2" t="s">
        <v>9</v>
      </c>
      <c r="E59" s="2">
        <v>1000</v>
      </c>
      <c r="F59" s="2">
        <v>22.4</v>
      </c>
      <c r="G59" s="1">
        <v>46034</v>
      </c>
      <c r="H59" s="2" t="s">
        <v>10</v>
      </c>
    </row>
    <row r="60" spans="1:8" x14ac:dyDescent="0.2">
      <c r="A60" t="s">
        <v>344</v>
      </c>
      <c r="B60" s="21">
        <v>46270</v>
      </c>
      <c r="C60" s="2" t="s">
        <v>222</v>
      </c>
      <c r="D60" s="2" t="s">
        <v>9</v>
      </c>
      <c r="E60" s="2">
        <v>500</v>
      </c>
      <c r="F60" s="2">
        <v>38.6</v>
      </c>
      <c r="G60" s="1">
        <v>46035</v>
      </c>
      <c r="H60" s="2" t="s">
        <v>10</v>
      </c>
    </row>
    <row r="61" spans="1:8" x14ac:dyDescent="0.2">
      <c r="A61" t="s">
        <v>345</v>
      </c>
      <c r="B61" s="21">
        <v>46270</v>
      </c>
      <c r="C61" s="2" t="s">
        <v>224</v>
      </c>
      <c r="D61" s="2" t="s">
        <v>13</v>
      </c>
      <c r="E61" s="2">
        <v>450</v>
      </c>
      <c r="F61" s="2">
        <v>48.9</v>
      </c>
      <c r="G61" s="1">
        <v>46035</v>
      </c>
      <c r="H61" s="2" t="s">
        <v>10</v>
      </c>
    </row>
    <row r="62" spans="1:8" x14ac:dyDescent="0.2">
      <c r="A62" t="s">
        <v>346</v>
      </c>
      <c r="B62" s="21">
        <v>46270</v>
      </c>
      <c r="C62" s="2" t="s">
        <v>226</v>
      </c>
      <c r="D62" s="2" t="s">
        <v>9</v>
      </c>
      <c r="E62" s="2">
        <v>200</v>
      </c>
      <c r="F62" s="2">
        <v>325.7</v>
      </c>
      <c r="G62" s="1">
        <v>46035</v>
      </c>
      <c r="H62" s="2" t="s">
        <v>10</v>
      </c>
    </row>
    <row r="63" spans="1:8" x14ac:dyDescent="0.2">
      <c r="A63" t="s">
        <v>347</v>
      </c>
      <c r="B63" s="21">
        <v>46270</v>
      </c>
      <c r="C63" s="2" t="s">
        <v>228</v>
      </c>
      <c r="D63" s="2" t="s">
        <v>13</v>
      </c>
      <c r="E63" s="2">
        <v>598</v>
      </c>
      <c r="F63" s="2">
        <v>42.35</v>
      </c>
      <c r="G63" s="1">
        <v>46035</v>
      </c>
      <c r="H63" s="2" t="s">
        <v>10</v>
      </c>
    </row>
    <row r="64" spans="1:8" x14ac:dyDescent="0.2">
      <c r="A64" t="s">
        <v>348</v>
      </c>
      <c r="B64" s="21">
        <v>46270</v>
      </c>
      <c r="C64" s="2" t="s">
        <v>230</v>
      </c>
      <c r="D64" s="2" t="s">
        <v>9</v>
      </c>
      <c r="E64" s="2">
        <v>350</v>
      </c>
      <c r="F64" s="2">
        <v>28.8</v>
      </c>
      <c r="G64" s="1">
        <v>46035</v>
      </c>
      <c r="H64" s="2" t="s">
        <v>10</v>
      </c>
    </row>
    <row r="65" spans="1:8" x14ac:dyDescent="0.2">
      <c r="A65" t="s">
        <v>349</v>
      </c>
      <c r="B65" s="21">
        <v>46270</v>
      </c>
      <c r="C65" s="2" t="s">
        <v>232</v>
      </c>
      <c r="D65" s="2" t="s">
        <v>13</v>
      </c>
      <c r="E65" s="2">
        <v>700</v>
      </c>
      <c r="F65" s="2">
        <v>38.450000000000003</v>
      </c>
      <c r="G65" s="1">
        <v>46035</v>
      </c>
      <c r="H65" s="2" t="s">
        <v>10</v>
      </c>
    </row>
    <row r="66" spans="1:8" x14ac:dyDescent="0.2">
      <c r="A66" t="s">
        <v>350</v>
      </c>
      <c r="B66" s="21">
        <v>46270</v>
      </c>
      <c r="C66" s="2" t="s">
        <v>234</v>
      </c>
      <c r="D66" s="2" t="s">
        <v>9</v>
      </c>
      <c r="E66" s="2">
        <v>400</v>
      </c>
      <c r="F66" s="2">
        <v>22.6</v>
      </c>
      <c r="G66" s="1">
        <v>46035</v>
      </c>
      <c r="H66" s="2" t="s">
        <v>10</v>
      </c>
    </row>
    <row r="67" spans="1:8" x14ac:dyDescent="0.2">
      <c r="A67" t="s">
        <v>351</v>
      </c>
      <c r="B67" s="21">
        <v>46270</v>
      </c>
      <c r="C67" s="2" t="s">
        <v>236</v>
      </c>
      <c r="D67" s="2" t="s">
        <v>13</v>
      </c>
      <c r="E67" s="2">
        <v>550</v>
      </c>
      <c r="F67" s="2">
        <v>45.75</v>
      </c>
      <c r="G67" s="1">
        <v>46035</v>
      </c>
      <c r="H67" s="2" t="s">
        <v>10</v>
      </c>
    </row>
    <row r="68" spans="1:8" x14ac:dyDescent="0.2">
      <c r="A68" t="s">
        <v>352</v>
      </c>
      <c r="B68" s="21">
        <v>46270</v>
      </c>
      <c r="C68" s="2" t="s">
        <v>238</v>
      </c>
      <c r="D68" s="2" t="s">
        <v>9</v>
      </c>
      <c r="E68" s="2">
        <v>250</v>
      </c>
      <c r="F68" s="2">
        <v>98.4</v>
      </c>
      <c r="G68" s="1">
        <v>46035</v>
      </c>
      <c r="H68" s="2" t="s">
        <v>10</v>
      </c>
    </row>
    <row r="69" spans="1:8" x14ac:dyDescent="0.2">
      <c r="A69" t="s">
        <v>353</v>
      </c>
      <c r="B69" s="21">
        <v>46361</v>
      </c>
      <c r="C69" s="2" t="s">
        <v>240</v>
      </c>
      <c r="D69" s="2" t="s">
        <v>9</v>
      </c>
      <c r="E69" s="2">
        <v>300</v>
      </c>
      <c r="F69" s="2">
        <v>245.8</v>
      </c>
      <c r="G69" s="1">
        <v>46036</v>
      </c>
      <c r="H69" s="2" t="s">
        <v>10</v>
      </c>
    </row>
    <row r="70" spans="1:8" x14ac:dyDescent="0.2">
      <c r="A70" t="s">
        <v>354</v>
      </c>
      <c r="B70" s="21">
        <v>46361</v>
      </c>
      <c r="C70" s="2" t="s">
        <v>242</v>
      </c>
      <c r="D70" s="2" t="s">
        <v>13</v>
      </c>
      <c r="E70" s="2">
        <v>400</v>
      </c>
      <c r="F70" s="2">
        <v>218.5</v>
      </c>
      <c r="G70" s="1">
        <v>46036</v>
      </c>
      <c r="H70" s="2" t="s">
        <v>10</v>
      </c>
    </row>
    <row r="71" spans="1:8" x14ac:dyDescent="0.2">
      <c r="A71" t="s">
        <v>355</v>
      </c>
      <c r="B71" s="21">
        <v>46361</v>
      </c>
      <c r="C71" s="2" t="s">
        <v>244</v>
      </c>
      <c r="D71" s="2" t="s">
        <v>9</v>
      </c>
      <c r="E71" s="2">
        <v>200</v>
      </c>
      <c r="F71" s="2">
        <v>108.9</v>
      </c>
      <c r="G71" s="1">
        <v>46036</v>
      </c>
      <c r="H71" s="2" t="s">
        <v>10</v>
      </c>
    </row>
    <row r="72" spans="1:8" x14ac:dyDescent="0.2">
      <c r="A72" t="s">
        <v>356</v>
      </c>
      <c r="B72" s="21">
        <v>46361</v>
      </c>
      <c r="C72" s="2" t="s">
        <v>246</v>
      </c>
      <c r="D72" s="2" t="s">
        <v>13</v>
      </c>
      <c r="E72" s="2">
        <v>500</v>
      </c>
      <c r="F72" s="2">
        <v>142.6</v>
      </c>
      <c r="G72" s="1">
        <v>46036</v>
      </c>
      <c r="H72" s="2" t="s">
        <v>10</v>
      </c>
    </row>
    <row r="73" spans="1:8" x14ac:dyDescent="0.2">
      <c r="A73" t="s">
        <v>357</v>
      </c>
      <c r="B73" s="21">
        <v>46361</v>
      </c>
      <c r="C73" s="2" t="s">
        <v>248</v>
      </c>
      <c r="D73" s="2" t="s">
        <v>9</v>
      </c>
      <c r="E73" s="2">
        <v>75</v>
      </c>
      <c r="F73" s="2">
        <v>3850</v>
      </c>
      <c r="G73" s="1">
        <v>46036</v>
      </c>
      <c r="H73" s="2" t="s">
        <v>10</v>
      </c>
    </row>
    <row r="74" spans="1:8" x14ac:dyDescent="0.2">
      <c r="A74" t="s">
        <v>358</v>
      </c>
      <c r="B74" s="21">
        <v>46361</v>
      </c>
      <c r="C74" s="2" t="s">
        <v>250</v>
      </c>
      <c r="D74" s="2" t="s">
        <v>13</v>
      </c>
      <c r="E74" s="2">
        <v>350</v>
      </c>
      <c r="F74" s="2">
        <v>142.30000000000001</v>
      </c>
      <c r="G74" s="1">
        <v>46036</v>
      </c>
      <c r="H74" s="2" t="s">
        <v>10</v>
      </c>
    </row>
    <row r="75" spans="1:8" x14ac:dyDescent="0.2">
      <c r="A75" t="s">
        <v>359</v>
      </c>
      <c r="B75" s="21">
        <v>46361</v>
      </c>
      <c r="C75" s="2" t="s">
        <v>252</v>
      </c>
      <c r="D75" s="2" t="s">
        <v>9</v>
      </c>
      <c r="E75" s="2">
        <v>797</v>
      </c>
      <c r="F75" s="2">
        <v>22.75</v>
      </c>
      <c r="G75" s="1">
        <v>46036</v>
      </c>
      <c r="H75" s="2" t="s">
        <v>10</v>
      </c>
    </row>
    <row r="76" spans="1:8" x14ac:dyDescent="0.2">
      <c r="A76" t="s">
        <v>360</v>
      </c>
      <c r="B76" s="21">
        <v>46361</v>
      </c>
      <c r="C76" s="2" t="s">
        <v>254</v>
      </c>
      <c r="D76" s="2" t="s">
        <v>13</v>
      </c>
      <c r="E76" s="2">
        <v>900</v>
      </c>
      <c r="F76" s="2">
        <v>15.4</v>
      </c>
      <c r="G76" s="1">
        <v>46036</v>
      </c>
      <c r="H76" s="2" t="s">
        <v>10</v>
      </c>
    </row>
    <row r="77" spans="1:8" x14ac:dyDescent="0.2">
      <c r="A77" t="s">
        <v>361</v>
      </c>
      <c r="B77" s="21">
        <v>46361</v>
      </c>
      <c r="C77" s="2" t="s">
        <v>256</v>
      </c>
      <c r="D77" s="2" t="s">
        <v>9</v>
      </c>
      <c r="E77" s="2">
        <v>700</v>
      </c>
      <c r="F77" s="2">
        <v>48.85</v>
      </c>
      <c r="G77" s="1">
        <v>46036</v>
      </c>
      <c r="H77" s="2" t="s">
        <v>10</v>
      </c>
    </row>
    <row r="78" spans="1:8" x14ac:dyDescent="0.2">
      <c r="A78" t="s">
        <v>362</v>
      </c>
      <c r="B78" s="21">
        <v>46361</v>
      </c>
      <c r="C78" s="2" t="s">
        <v>258</v>
      </c>
      <c r="D78" s="2" t="s">
        <v>13</v>
      </c>
      <c r="E78" s="2">
        <v>600</v>
      </c>
      <c r="F78" s="2">
        <v>52.3</v>
      </c>
      <c r="G78" s="1">
        <v>46036</v>
      </c>
      <c r="H78" s="2" t="s">
        <v>10</v>
      </c>
    </row>
    <row r="79" spans="1:8" x14ac:dyDescent="0.2">
      <c r="A79" t="s">
        <v>363</v>
      </c>
      <c r="B79" s="2" t="s">
        <v>260</v>
      </c>
      <c r="C79" s="2" t="s">
        <v>263</v>
      </c>
      <c r="D79" s="2" t="s">
        <v>13</v>
      </c>
      <c r="E79" s="2">
        <v>400</v>
      </c>
      <c r="F79" s="2">
        <v>45.9</v>
      </c>
      <c r="G79" s="1">
        <v>46037</v>
      </c>
      <c r="H79" s="2" t="s">
        <v>10</v>
      </c>
    </row>
    <row r="80" spans="1:8" x14ac:dyDescent="0.2">
      <c r="A80" t="s">
        <v>364</v>
      </c>
      <c r="B80" s="2" t="s">
        <v>260</v>
      </c>
      <c r="C80" s="2" t="s">
        <v>265</v>
      </c>
      <c r="D80" s="2" t="s">
        <v>9</v>
      </c>
      <c r="E80" s="2">
        <v>1000</v>
      </c>
      <c r="F80" s="2">
        <v>7.85</v>
      </c>
      <c r="G80" s="1">
        <v>46037</v>
      </c>
      <c r="H80" s="2" t="s">
        <v>10</v>
      </c>
    </row>
    <row r="81" spans="1:8" x14ac:dyDescent="0.2">
      <c r="A81" t="s">
        <v>365</v>
      </c>
      <c r="B81" s="2" t="s">
        <v>260</v>
      </c>
      <c r="C81" s="2" t="s">
        <v>267</v>
      </c>
      <c r="D81" s="2" t="s">
        <v>13</v>
      </c>
      <c r="E81" s="2">
        <v>750</v>
      </c>
      <c r="F81" s="2">
        <v>4.2</v>
      </c>
      <c r="G81" s="1">
        <v>46037</v>
      </c>
      <c r="H81" s="2" t="s">
        <v>10</v>
      </c>
    </row>
    <row r="82" spans="1:8" x14ac:dyDescent="0.2">
      <c r="A82" t="s">
        <v>366</v>
      </c>
      <c r="B82" s="2" t="s">
        <v>260</v>
      </c>
      <c r="C82" s="2" t="s">
        <v>269</v>
      </c>
      <c r="D82" s="2" t="s">
        <v>9</v>
      </c>
      <c r="E82" s="2">
        <v>500</v>
      </c>
      <c r="F82" s="2">
        <v>12.5</v>
      </c>
      <c r="G82" s="1">
        <v>46037</v>
      </c>
      <c r="H82" s="2" t="s">
        <v>10</v>
      </c>
    </row>
    <row r="83" spans="1:8" x14ac:dyDescent="0.2">
      <c r="A83" t="s">
        <v>367</v>
      </c>
      <c r="B83" s="2" t="s">
        <v>260</v>
      </c>
      <c r="C83" s="2" t="s">
        <v>271</v>
      </c>
      <c r="D83" s="2" t="s">
        <v>13</v>
      </c>
      <c r="E83" s="2">
        <v>900</v>
      </c>
      <c r="F83" s="2">
        <v>18.75</v>
      </c>
      <c r="G83" s="1">
        <v>46037</v>
      </c>
      <c r="H83" s="2" t="s">
        <v>10</v>
      </c>
    </row>
    <row r="84" spans="1:8" x14ac:dyDescent="0.2">
      <c r="A84" t="s">
        <v>368</v>
      </c>
      <c r="B84" s="2" t="s">
        <v>260</v>
      </c>
      <c r="C84" s="2" t="s">
        <v>273</v>
      </c>
      <c r="D84" s="2" t="s">
        <v>9</v>
      </c>
      <c r="E84" s="2">
        <v>350</v>
      </c>
      <c r="F84" s="2">
        <v>165.4</v>
      </c>
      <c r="G84" s="1">
        <v>46037</v>
      </c>
      <c r="H84" s="2" t="s">
        <v>10</v>
      </c>
    </row>
    <row r="85" spans="1:8" x14ac:dyDescent="0.2">
      <c r="A85" t="s">
        <v>369</v>
      </c>
      <c r="B85" s="2" t="s">
        <v>260</v>
      </c>
      <c r="C85" s="2" t="s">
        <v>275</v>
      </c>
      <c r="D85" s="2" t="s">
        <v>13</v>
      </c>
      <c r="E85" s="2">
        <v>600</v>
      </c>
      <c r="F85" s="2">
        <v>22.9</v>
      </c>
      <c r="G85" s="1">
        <v>46037</v>
      </c>
      <c r="H85" s="2" t="s">
        <v>10</v>
      </c>
    </row>
    <row r="86" spans="1:8" x14ac:dyDescent="0.2">
      <c r="A86" t="s">
        <v>370</v>
      </c>
      <c r="B86" s="2" t="s">
        <v>260</v>
      </c>
      <c r="C86" s="2" t="s">
        <v>277</v>
      </c>
      <c r="D86" s="2" t="s">
        <v>9</v>
      </c>
      <c r="E86" s="2">
        <v>450</v>
      </c>
      <c r="F86" s="2">
        <v>18.600000000000001</v>
      </c>
      <c r="G86" s="1">
        <v>46037</v>
      </c>
      <c r="H86" s="2" t="s">
        <v>10</v>
      </c>
    </row>
    <row r="87" spans="1:8" x14ac:dyDescent="0.2">
      <c r="A87" t="s">
        <v>371</v>
      </c>
      <c r="B87" s="2" t="s">
        <v>260</v>
      </c>
      <c r="C87" s="2" t="s">
        <v>279</v>
      </c>
      <c r="D87" s="2" t="s">
        <v>13</v>
      </c>
      <c r="E87" s="2">
        <v>300</v>
      </c>
      <c r="F87" s="2">
        <v>72.349999999999994</v>
      </c>
      <c r="G87" s="1">
        <v>46037</v>
      </c>
      <c r="H87" s="2" t="s">
        <v>10</v>
      </c>
    </row>
    <row r="88" spans="1:8" x14ac:dyDescent="0.2">
      <c r="A88" t="s">
        <v>372</v>
      </c>
      <c r="B88" s="2" t="s">
        <v>281</v>
      </c>
      <c r="C88" s="2" t="s">
        <v>282</v>
      </c>
      <c r="D88" s="2" t="s">
        <v>9</v>
      </c>
      <c r="E88" s="2">
        <v>250</v>
      </c>
      <c r="F88" s="2">
        <v>385.6</v>
      </c>
      <c r="G88" s="1">
        <v>46038</v>
      </c>
      <c r="H88" s="2" t="s">
        <v>10</v>
      </c>
    </row>
    <row r="89" spans="1:8" x14ac:dyDescent="0.2">
      <c r="A89" t="s">
        <v>373</v>
      </c>
      <c r="B89" s="2" t="s">
        <v>281</v>
      </c>
      <c r="C89" s="2" t="s">
        <v>284</v>
      </c>
      <c r="D89" s="2" t="s">
        <v>13</v>
      </c>
      <c r="E89" s="2">
        <v>150</v>
      </c>
      <c r="F89" s="2">
        <v>985.4</v>
      </c>
      <c r="G89" s="1">
        <v>46038</v>
      </c>
      <c r="H89" s="2" t="s">
        <v>10</v>
      </c>
    </row>
    <row r="90" spans="1:8" x14ac:dyDescent="0.2">
      <c r="A90" t="s">
        <v>374</v>
      </c>
      <c r="B90" s="2" t="s">
        <v>281</v>
      </c>
      <c r="C90" s="2" t="s">
        <v>286</v>
      </c>
      <c r="D90" s="2" t="s">
        <v>9</v>
      </c>
      <c r="E90" s="2">
        <v>700</v>
      </c>
      <c r="F90" s="2">
        <v>142.80000000000001</v>
      </c>
      <c r="G90" s="1">
        <v>46038</v>
      </c>
      <c r="H90" s="2" t="s">
        <v>10</v>
      </c>
    </row>
    <row r="91" spans="1:8" x14ac:dyDescent="0.2">
      <c r="A91" t="s">
        <v>375</v>
      </c>
      <c r="B91" s="2" t="s">
        <v>281</v>
      </c>
      <c r="C91" s="2" t="s">
        <v>288</v>
      </c>
      <c r="D91" s="2" t="s">
        <v>13</v>
      </c>
      <c r="E91" s="2">
        <v>798</v>
      </c>
      <c r="F91" s="2">
        <v>62.45</v>
      </c>
      <c r="G91" s="1">
        <v>46038</v>
      </c>
      <c r="H91" s="2" t="s">
        <v>10</v>
      </c>
    </row>
    <row r="92" spans="1:8" x14ac:dyDescent="0.2">
      <c r="A92" t="s">
        <v>376</v>
      </c>
      <c r="B92" s="2" t="s">
        <v>281</v>
      </c>
      <c r="C92" s="2" t="s">
        <v>290</v>
      </c>
      <c r="D92" s="2" t="s">
        <v>9</v>
      </c>
      <c r="E92" s="2">
        <v>500</v>
      </c>
      <c r="F92" s="2">
        <v>38.9</v>
      </c>
      <c r="G92" s="1">
        <v>46038</v>
      </c>
      <c r="H92" s="2" t="s">
        <v>10</v>
      </c>
    </row>
    <row r="93" spans="1:8" x14ac:dyDescent="0.2">
      <c r="A93" t="s">
        <v>377</v>
      </c>
      <c r="B93" s="2" t="s">
        <v>281</v>
      </c>
      <c r="C93" s="2" t="s">
        <v>292</v>
      </c>
      <c r="D93" s="2" t="s">
        <v>13</v>
      </c>
      <c r="E93" s="2">
        <v>600</v>
      </c>
      <c r="F93" s="2">
        <v>22.7</v>
      </c>
      <c r="G93" s="1">
        <v>46038</v>
      </c>
      <c r="H93" s="2" t="s">
        <v>10</v>
      </c>
    </row>
    <row r="94" spans="1:8" x14ac:dyDescent="0.2">
      <c r="A94" t="s">
        <v>378</v>
      </c>
      <c r="B94" s="2" t="s">
        <v>281</v>
      </c>
      <c r="C94" s="2" t="s">
        <v>294</v>
      </c>
      <c r="D94" s="2" t="s">
        <v>9</v>
      </c>
      <c r="E94" s="2">
        <v>400</v>
      </c>
      <c r="F94" s="2">
        <v>78.25</v>
      </c>
      <c r="G94" s="1">
        <v>46038</v>
      </c>
      <c r="H94" s="2" t="s">
        <v>10</v>
      </c>
    </row>
    <row r="95" spans="1:8" x14ac:dyDescent="0.2">
      <c r="A95" t="s">
        <v>379</v>
      </c>
      <c r="B95" s="2" t="s">
        <v>281</v>
      </c>
      <c r="C95" s="2" t="s">
        <v>296</v>
      </c>
      <c r="D95" s="2" t="s">
        <v>13</v>
      </c>
      <c r="E95" s="2">
        <v>350</v>
      </c>
      <c r="F95" s="2">
        <v>108.6</v>
      </c>
      <c r="G95" s="1">
        <v>46038</v>
      </c>
      <c r="H95" s="2" t="s">
        <v>10</v>
      </c>
    </row>
    <row r="96" spans="1:8" x14ac:dyDescent="0.2">
      <c r="A96" t="s">
        <v>380</v>
      </c>
      <c r="B96" s="2" t="s">
        <v>281</v>
      </c>
      <c r="C96" s="2" t="s">
        <v>298</v>
      </c>
      <c r="D96" s="2" t="s">
        <v>9</v>
      </c>
      <c r="E96" s="2">
        <v>200</v>
      </c>
      <c r="F96" s="2">
        <v>142.35</v>
      </c>
      <c r="G96" s="1">
        <v>46038</v>
      </c>
      <c r="H96" s="2" t="s">
        <v>10</v>
      </c>
    </row>
    <row r="97" spans="1:8" x14ac:dyDescent="0.2">
      <c r="A97" t="s">
        <v>381</v>
      </c>
      <c r="B97" s="2" t="s">
        <v>281</v>
      </c>
      <c r="C97" s="2" t="s">
        <v>300</v>
      </c>
      <c r="D97" s="2" t="s">
        <v>13</v>
      </c>
      <c r="E97" s="2">
        <v>100</v>
      </c>
      <c r="F97" s="2">
        <v>312.89999999999998</v>
      </c>
      <c r="G97" s="1">
        <v>46038</v>
      </c>
      <c r="H97" s="2" t="s">
        <v>10</v>
      </c>
    </row>
    <row r="98" spans="1:8" x14ac:dyDescent="0.2">
      <c r="A98" t="s">
        <v>382</v>
      </c>
      <c r="B98" s="2" t="s">
        <v>281</v>
      </c>
      <c r="C98" s="2" t="s">
        <v>383</v>
      </c>
      <c r="D98" s="2" t="s">
        <v>9</v>
      </c>
      <c r="E98" s="2">
        <v>600</v>
      </c>
      <c r="F98" s="2">
        <v>8.4499999999999993</v>
      </c>
      <c r="G98" s="1">
        <v>46038</v>
      </c>
      <c r="H98" s="2" t="s">
        <v>10</v>
      </c>
    </row>
    <row r="99" spans="1:8" x14ac:dyDescent="0.2">
      <c r="A99" t="s">
        <v>384</v>
      </c>
      <c r="B99" s="2" t="s">
        <v>281</v>
      </c>
      <c r="C99" s="2" t="s">
        <v>385</v>
      </c>
      <c r="D99" s="2" t="s">
        <v>13</v>
      </c>
      <c r="E99" s="2">
        <v>400</v>
      </c>
      <c r="F99" s="2">
        <v>68.900000000000006</v>
      </c>
      <c r="G99" s="1">
        <v>46038</v>
      </c>
      <c r="H99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BE6B-0871-0244-A025-A5B736310209}">
  <sheetPr>
    <tabColor theme="6"/>
  </sheetPr>
  <dimension ref="A1:L101"/>
  <sheetViews>
    <sheetView showGridLines="0" workbookViewId="0">
      <pane ySplit="1" topLeftCell="A2" activePane="bottomLeft" state="frozen"/>
      <selection pane="bottomLeft" activeCell="O25" sqref="O25"/>
    </sheetView>
  </sheetViews>
  <sheetFormatPr baseColWidth="10" defaultRowHeight="16" x14ac:dyDescent="0.2"/>
  <cols>
    <col min="1" max="1" width="10.5" bestFit="1" customWidth="1"/>
    <col min="2" max="2" width="10.1640625" style="20" bestFit="1" customWidth="1"/>
    <col min="3" max="3" width="8.83203125" bestFit="1" customWidth="1"/>
    <col min="4" max="4" width="10.6640625" bestFit="1" customWidth="1"/>
    <col min="5" max="5" width="12" style="2" bestFit="1" customWidth="1"/>
    <col min="6" max="6" width="13.1640625" style="2" bestFit="1" customWidth="1"/>
    <col min="7" max="7" width="15" style="2" bestFit="1" customWidth="1"/>
    <col min="8" max="8" width="16.5" style="2" bestFit="1" customWidth="1"/>
    <col min="9" max="9" width="12.83203125" style="2" bestFit="1" customWidth="1"/>
    <col min="10" max="10" width="14.6640625" style="2" bestFit="1" customWidth="1"/>
    <col min="11" max="11" width="16" style="2" bestFit="1" customWidth="1"/>
    <col min="12" max="12" width="14" style="20" bestFit="1" customWidth="1"/>
  </cols>
  <sheetData>
    <row r="1" spans="1:12" ht="22" x14ac:dyDescent="0.3">
      <c r="A1" s="17" t="s">
        <v>0</v>
      </c>
      <c r="B1" s="17" t="s">
        <v>2</v>
      </c>
      <c r="C1" s="17" t="s">
        <v>60</v>
      </c>
      <c r="D1" s="17" t="s">
        <v>61</v>
      </c>
      <c r="E1" s="19" t="s">
        <v>62</v>
      </c>
      <c r="F1" s="19" t="s">
        <v>63</v>
      </c>
      <c r="G1" s="19" t="s">
        <v>64</v>
      </c>
      <c r="H1" s="19" t="s">
        <v>65</v>
      </c>
      <c r="I1" s="19" t="s">
        <v>66</v>
      </c>
      <c r="J1" s="19" t="s">
        <v>67</v>
      </c>
      <c r="K1" s="19" t="s">
        <v>68</v>
      </c>
      <c r="L1" s="17" t="s">
        <v>69</v>
      </c>
    </row>
    <row r="2" spans="1:12" x14ac:dyDescent="0.2">
      <c r="A2" t="str">
        <f>Internal_Trades!A2</f>
        <v>TR001</v>
      </c>
      <c r="B2" s="20" t="str">
        <f>Internal_Trades!C2</f>
        <v>AAPL</v>
      </c>
      <c r="C2">
        <f>Internal_Trades!E2</f>
        <v>1000</v>
      </c>
      <c r="D2">
        <f>Internal_Trades!F2</f>
        <v>175.5</v>
      </c>
      <c r="E2" s="2" t="str">
        <f>Internal_Trades!H2</f>
        <v>Settled</v>
      </c>
      <c r="F2" s="2">
        <f>IFERROR(_xlfn.XLOOKUP(B2,Broker_Confirms!C:C,Broker_Confirms!E:E),"NOT FOUND")</f>
        <v>1000</v>
      </c>
      <c r="G2" s="2">
        <f>IFERROR(_xlfn.XLOOKUP(B2,Broker_Confirms!C:C,Broker_Confirms!F:F),"NOT FOUND")</f>
        <v>175.5</v>
      </c>
      <c r="H2" s="2" t="str">
        <f>IFERROR(_xlfn.XLOOKUP(B2,Broker_Confirms!C:C,Broker_Confirms!H:H),"NOT FOUND")</f>
        <v>Settled</v>
      </c>
      <c r="I2" s="2" t="str">
        <f>IF(F2="NOT FOUND","MISSING",IF(C2=F2,"MATCH","BREAK"))</f>
        <v>MATCH</v>
      </c>
      <c r="J2" s="2" t="str">
        <f>IF(G2="NOT FOUND","MISSING",IF(D2=G2,"MATCH","BREAK"))</f>
        <v>MATCH</v>
      </c>
      <c r="K2" s="2" t="str">
        <f>IF(H2="NOT FOUND","MISSING",IF(E2=H2,"MATCH","BREAK"))</f>
        <v>MATCH</v>
      </c>
      <c r="L2" s="20" t="str">
        <f>IF(AND(I2="MATCH",J2="MATCH",K2="MATCH"),"OK",IF(OR(I2="MISSING",J2="MISSING",K2="MISSING"),"MISSING TRADE",IF(AND(I2="BREAK",J2="MATCH",K2="MATCH"),"QTY BREAK",IF(AND(I2="MATCH",J2="BREAK",K2="MATCH"),"PRICE BREAK",IF(AND(I2="MATCH",J2="MATCH",K2="BREAK"),"STATUS BREAK","MULTIPLE BREAKS")))))</f>
        <v>OK</v>
      </c>
    </row>
    <row r="3" spans="1:12" x14ac:dyDescent="0.2">
      <c r="A3" t="str">
        <f>Internal_Trades!A3</f>
        <v>TR002</v>
      </c>
      <c r="B3" s="20" t="str">
        <f>Internal_Trades!C3</f>
        <v>MSFT</v>
      </c>
      <c r="C3">
        <f>Internal_Trades!E3</f>
        <v>500</v>
      </c>
      <c r="D3">
        <f>Internal_Trades!F3</f>
        <v>420.25</v>
      </c>
      <c r="E3" s="2" t="str">
        <f>Internal_Trades!H3</f>
        <v>Settled</v>
      </c>
      <c r="F3" s="2">
        <f>IFERROR(_xlfn.XLOOKUP(B3,Broker_Confirms!C:C,Broker_Confirms!E:E),"NOT FOUND")</f>
        <v>499</v>
      </c>
      <c r="G3" s="2">
        <f>IFERROR(_xlfn.XLOOKUP(B3,Broker_Confirms!C:C,Broker_Confirms!F:F),"NOT FOUND")</f>
        <v>420.25</v>
      </c>
      <c r="H3" s="2" t="str">
        <f>IFERROR(_xlfn.XLOOKUP(B3,Broker_Confirms!C:C,Broker_Confirms!H:H),"NOT FOUND")</f>
        <v>Settled</v>
      </c>
      <c r="I3" s="2" t="str">
        <f t="shared" ref="I3:I66" si="0">IF(F3="NOT FOUND","MISSING",IF(C3=F3,"MATCH","BREAK"))</f>
        <v>BREAK</v>
      </c>
      <c r="J3" s="2" t="str">
        <f t="shared" ref="J3:J66" si="1">IF(G3="NOT FOUND","MISSING",IF(D3=G3,"MATCH","BREAK"))</f>
        <v>MATCH</v>
      </c>
      <c r="K3" s="2" t="str">
        <f t="shared" ref="K3:K66" si="2">IF(H3="NOT FOUND","MISSING",IF(E3=H3,"MATCH","BREAK"))</f>
        <v>MATCH</v>
      </c>
      <c r="L3" s="20" t="str">
        <f t="shared" ref="L3:L66" si="3">IF(AND(I3="MATCH",J3="MATCH",K3="MATCH"),"OK",IF(OR(I3="MISSING",J3="MISSING",K3="MISSING"),"MISSING TRADE",IF(AND(I3="BREAK",J3="MATCH",K3="MATCH"),"QTY BREAK",IF(AND(I3="MATCH",J3="BREAK",K3="MATCH"),"PRICE BREAK",IF(AND(I3="MATCH",J3="MATCH",K3="BREAK"),"STATUS BREAK","MULTIPLE BREAKS")))))</f>
        <v>QTY BREAK</v>
      </c>
    </row>
    <row r="4" spans="1:12" x14ac:dyDescent="0.2">
      <c r="A4" t="str">
        <f>Internal_Trades!A4</f>
        <v>TR003</v>
      </c>
      <c r="B4" s="20" t="str">
        <f>Internal_Trades!C4</f>
        <v>GOOGL</v>
      </c>
      <c r="C4">
        <f>Internal_Trades!E4</f>
        <v>300</v>
      </c>
      <c r="D4">
        <f>Internal_Trades!F4</f>
        <v>142.80000000000001</v>
      </c>
      <c r="E4" s="2" t="str">
        <f>Internal_Trades!H4</f>
        <v>Settled</v>
      </c>
      <c r="F4" s="2">
        <f>IFERROR(_xlfn.XLOOKUP(B4,Broker_Confirms!C:C,Broker_Confirms!E:E),"NOT FOUND")</f>
        <v>300</v>
      </c>
      <c r="G4" s="2">
        <f>IFERROR(_xlfn.XLOOKUP(B4,Broker_Confirms!C:C,Broker_Confirms!F:F),"NOT FOUND")</f>
        <v>142.80000000000001</v>
      </c>
      <c r="H4" s="2" t="str">
        <f>IFERROR(_xlfn.XLOOKUP(B4,Broker_Confirms!C:C,Broker_Confirms!H:H),"NOT FOUND")</f>
        <v>Settled</v>
      </c>
      <c r="I4" s="2" t="str">
        <f t="shared" si="0"/>
        <v>MATCH</v>
      </c>
      <c r="J4" s="2" t="str">
        <f t="shared" si="1"/>
        <v>MATCH</v>
      </c>
      <c r="K4" s="2" t="str">
        <f t="shared" si="2"/>
        <v>MATCH</v>
      </c>
      <c r="L4" s="20" t="str">
        <f t="shared" si="3"/>
        <v>OK</v>
      </c>
    </row>
    <row r="5" spans="1:12" x14ac:dyDescent="0.2">
      <c r="A5" t="str">
        <f>Internal_Trades!A5</f>
        <v>TR004</v>
      </c>
      <c r="B5" s="20" t="str">
        <f>Internal_Trades!C5</f>
        <v>TSLA</v>
      </c>
      <c r="C5">
        <f>Internal_Trades!E5</f>
        <v>750</v>
      </c>
      <c r="D5">
        <f>Internal_Trades!F5</f>
        <v>245.6</v>
      </c>
      <c r="E5" s="2" t="str">
        <f>Internal_Trades!H5</f>
        <v>Settled</v>
      </c>
      <c r="F5" s="2">
        <f>IFERROR(_xlfn.XLOOKUP(B5,Broker_Confirms!C:C,Broker_Confirms!E:E),"NOT FOUND")</f>
        <v>750</v>
      </c>
      <c r="G5" s="2">
        <f>IFERROR(_xlfn.XLOOKUP(B5,Broker_Confirms!C:C,Broker_Confirms!F:F),"NOT FOUND")</f>
        <v>245.85</v>
      </c>
      <c r="H5" s="2" t="str">
        <f>IFERROR(_xlfn.XLOOKUP(B5,Broker_Confirms!C:C,Broker_Confirms!H:H),"NOT FOUND")</f>
        <v>Settled</v>
      </c>
      <c r="I5" s="2" t="str">
        <f t="shared" si="0"/>
        <v>MATCH</v>
      </c>
      <c r="J5" s="2" t="str">
        <f t="shared" si="1"/>
        <v>BREAK</v>
      </c>
      <c r="K5" s="2" t="str">
        <f t="shared" si="2"/>
        <v>MATCH</v>
      </c>
      <c r="L5" s="20" t="str">
        <f t="shared" si="3"/>
        <v>PRICE BREAK</v>
      </c>
    </row>
    <row r="6" spans="1:12" x14ac:dyDescent="0.2">
      <c r="A6" t="str">
        <f>Internal_Trades!A6</f>
        <v>TR005</v>
      </c>
      <c r="B6" s="20" t="str">
        <f>Internal_Trades!C6</f>
        <v>JPM</v>
      </c>
      <c r="C6">
        <f>Internal_Trades!E6</f>
        <v>200</v>
      </c>
      <c r="D6">
        <f>Internal_Trades!F6</f>
        <v>158.9</v>
      </c>
      <c r="E6" s="2" t="str">
        <f>Internal_Trades!H6</f>
        <v>Settled</v>
      </c>
      <c r="F6" s="2">
        <f>IFERROR(_xlfn.XLOOKUP(B6,Broker_Confirms!C:C,Broker_Confirms!E:E),"NOT FOUND")</f>
        <v>200</v>
      </c>
      <c r="G6" s="2">
        <f>IFERROR(_xlfn.XLOOKUP(B6,Broker_Confirms!C:C,Broker_Confirms!F:F),"NOT FOUND")</f>
        <v>158.9</v>
      </c>
      <c r="H6" s="2" t="str">
        <f>IFERROR(_xlfn.XLOOKUP(B6,Broker_Confirms!C:C,Broker_Confirms!H:H),"NOT FOUND")</f>
        <v>Settled</v>
      </c>
      <c r="I6" s="2" t="str">
        <f t="shared" si="0"/>
        <v>MATCH</v>
      </c>
      <c r="J6" s="2" t="str">
        <f t="shared" si="1"/>
        <v>MATCH</v>
      </c>
      <c r="K6" s="2" t="str">
        <f t="shared" si="2"/>
        <v>MATCH</v>
      </c>
      <c r="L6" s="20" t="str">
        <f t="shared" si="3"/>
        <v>OK</v>
      </c>
    </row>
    <row r="7" spans="1:12" x14ac:dyDescent="0.2">
      <c r="A7" t="str">
        <f>Internal_Trades!A7</f>
        <v>TR006</v>
      </c>
      <c r="B7" s="20" t="str">
        <f>Internal_Trades!C7</f>
        <v>NVDA</v>
      </c>
      <c r="C7">
        <f>Internal_Trades!E7</f>
        <v>400</v>
      </c>
      <c r="D7">
        <f>Internal_Trades!F7</f>
        <v>880</v>
      </c>
      <c r="E7" s="2" t="str">
        <f>Internal_Trades!H7</f>
        <v>Settled</v>
      </c>
      <c r="F7" s="2">
        <f>IFERROR(_xlfn.XLOOKUP(B7,Broker_Confirms!C:C,Broker_Confirms!E:E),"NOT FOUND")</f>
        <v>400</v>
      </c>
      <c r="G7" s="2">
        <f>IFERROR(_xlfn.XLOOKUP(B7,Broker_Confirms!C:C,Broker_Confirms!F:F),"NOT FOUND")</f>
        <v>880</v>
      </c>
      <c r="H7" s="2" t="str">
        <f>IFERROR(_xlfn.XLOOKUP(B7,Broker_Confirms!C:C,Broker_Confirms!H:H),"NOT FOUND")</f>
        <v>Settled</v>
      </c>
      <c r="I7" s="2" t="str">
        <f t="shared" si="0"/>
        <v>MATCH</v>
      </c>
      <c r="J7" s="2" t="str">
        <f t="shared" si="1"/>
        <v>MATCH</v>
      </c>
      <c r="K7" s="2" t="str">
        <f t="shared" si="2"/>
        <v>MATCH</v>
      </c>
      <c r="L7" s="20" t="str">
        <f t="shared" si="3"/>
        <v>OK</v>
      </c>
    </row>
    <row r="8" spans="1:12" x14ac:dyDescent="0.2">
      <c r="A8" t="str">
        <f>Internal_Trades!A8</f>
        <v>TR007</v>
      </c>
      <c r="B8" s="20" t="str">
        <f>Internal_Trades!C8</f>
        <v>META</v>
      </c>
      <c r="C8">
        <f>Internal_Trades!E8</f>
        <v>600</v>
      </c>
      <c r="D8">
        <f>Internal_Trades!F8</f>
        <v>485.3</v>
      </c>
      <c r="E8" s="2" t="str">
        <f>Internal_Trades!H8</f>
        <v>Settled</v>
      </c>
      <c r="F8" s="2">
        <f>IFERROR(_xlfn.XLOOKUP(B8,Broker_Confirms!C:C,Broker_Confirms!E:E),"NOT FOUND")</f>
        <v>600</v>
      </c>
      <c r="G8" s="2">
        <f>IFERROR(_xlfn.XLOOKUP(B8,Broker_Confirms!C:C,Broker_Confirms!F:F),"NOT FOUND")</f>
        <v>485.3</v>
      </c>
      <c r="H8" s="2" t="str">
        <f>IFERROR(_xlfn.XLOOKUP(B8,Broker_Confirms!C:C,Broker_Confirms!H:H),"NOT FOUND")</f>
        <v>Settled</v>
      </c>
      <c r="I8" s="2" t="str">
        <f t="shared" si="0"/>
        <v>MATCH</v>
      </c>
      <c r="J8" s="2" t="str">
        <f t="shared" si="1"/>
        <v>MATCH</v>
      </c>
      <c r="K8" s="2" t="str">
        <f t="shared" si="2"/>
        <v>MATCH</v>
      </c>
      <c r="L8" s="20" t="str">
        <f t="shared" si="3"/>
        <v>OK</v>
      </c>
    </row>
    <row r="9" spans="1:12" x14ac:dyDescent="0.2">
      <c r="A9" t="str">
        <f>Internal_Trades!A9</f>
        <v>TR008</v>
      </c>
      <c r="B9" s="20" t="str">
        <f>Internal_Trades!C9</f>
        <v>AMZN</v>
      </c>
      <c r="C9">
        <f>Internal_Trades!E9</f>
        <v>350</v>
      </c>
      <c r="D9">
        <f>Internal_Trades!F9</f>
        <v>178.45</v>
      </c>
      <c r="E9" s="2" t="str">
        <f>Internal_Trades!H9</f>
        <v>Settled</v>
      </c>
      <c r="F9" s="2">
        <f>IFERROR(_xlfn.XLOOKUP(B9,Broker_Confirms!C:C,Broker_Confirms!E:E),"NOT FOUND")</f>
        <v>350</v>
      </c>
      <c r="G9" s="2">
        <f>IFERROR(_xlfn.XLOOKUP(B9,Broker_Confirms!C:C,Broker_Confirms!F:F),"NOT FOUND")</f>
        <v>178.45</v>
      </c>
      <c r="H9" s="2" t="str">
        <f>IFERROR(_xlfn.XLOOKUP(B9,Broker_Confirms!C:C,Broker_Confirms!H:H),"NOT FOUND")</f>
        <v>Settled</v>
      </c>
      <c r="I9" s="2" t="str">
        <f t="shared" si="0"/>
        <v>MATCH</v>
      </c>
      <c r="J9" s="2" t="str">
        <f t="shared" si="1"/>
        <v>MATCH</v>
      </c>
      <c r="K9" s="2" t="str">
        <f t="shared" si="2"/>
        <v>MATCH</v>
      </c>
      <c r="L9" s="20" t="str">
        <f t="shared" si="3"/>
        <v>OK</v>
      </c>
    </row>
    <row r="10" spans="1:12" x14ac:dyDescent="0.2">
      <c r="A10" t="str">
        <f>Internal_Trades!A10</f>
        <v>TR009</v>
      </c>
      <c r="B10" s="20" t="str">
        <f>Internal_Trades!C10</f>
        <v>BRK.B</v>
      </c>
      <c r="C10">
        <f>Internal_Trades!E10</f>
        <v>150</v>
      </c>
      <c r="D10">
        <f>Internal_Trades!F10</f>
        <v>420.75</v>
      </c>
      <c r="E10" s="2" t="str">
        <f>Internal_Trades!H10</f>
        <v>Settled</v>
      </c>
      <c r="F10" s="2">
        <f>IFERROR(_xlfn.XLOOKUP(B10,Broker_Confirms!C:C,Broker_Confirms!E:E),"NOT FOUND")</f>
        <v>150</v>
      </c>
      <c r="G10" s="2">
        <f>IFERROR(_xlfn.XLOOKUP(B10,Broker_Confirms!C:C,Broker_Confirms!F:F),"NOT FOUND")</f>
        <v>420.75</v>
      </c>
      <c r="H10" s="2" t="str">
        <f>IFERROR(_xlfn.XLOOKUP(B10,Broker_Confirms!C:C,Broker_Confirms!H:H),"NOT FOUND")</f>
        <v>Settled</v>
      </c>
      <c r="I10" s="2" t="str">
        <f t="shared" si="0"/>
        <v>MATCH</v>
      </c>
      <c r="J10" s="2" t="str">
        <f t="shared" si="1"/>
        <v>MATCH</v>
      </c>
      <c r="K10" s="2" t="str">
        <f t="shared" si="2"/>
        <v>MATCH</v>
      </c>
      <c r="L10" s="20" t="str">
        <f t="shared" si="3"/>
        <v>OK</v>
      </c>
    </row>
    <row r="11" spans="1:12" x14ac:dyDescent="0.2">
      <c r="A11" t="str">
        <f>Internal_Trades!A11</f>
        <v>TR010</v>
      </c>
      <c r="B11" s="20" t="str">
        <f>Internal_Trades!C11</f>
        <v>V</v>
      </c>
      <c r="C11">
        <f>Internal_Trades!E11</f>
        <v>500</v>
      </c>
      <c r="D11">
        <f>Internal_Trades!F11</f>
        <v>275.2</v>
      </c>
      <c r="E11" s="2" t="str">
        <f>Internal_Trades!H11</f>
        <v>Settled</v>
      </c>
      <c r="F11" s="2">
        <f>IFERROR(_xlfn.XLOOKUP(B11,Broker_Confirms!C:C,Broker_Confirms!E:E),"NOT FOUND")</f>
        <v>500</v>
      </c>
      <c r="G11" s="2">
        <f>IFERROR(_xlfn.XLOOKUP(B11,Broker_Confirms!C:C,Broker_Confirms!F:F),"NOT FOUND")</f>
        <v>275.2</v>
      </c>
      <c r="H11" s="2" t="str">
        <f>IFERROR(_xlfn.XLOOKUP(B11,Broker_Confirms!C:C,Broker_Confirms!H:H),"NOT FOUND")</f>
        <v>Settled</v>
      </c>
      <c r="I11" s="2" t="str">
        <f t="shared" si="0"/>
        <v>MATCH</v>
      </c>
      <c r="J11" s="2" t="str">
        <f t="shared" si="1"/>
        <v>MATCH</v>
      </c>
      <c r="K11" s="2" t="str">
        <f t="shared" si="2"/>
        <v>MATCH</v>
      </c>
      <c r="L11" s="20" t="str">
        <f t="shared" si="3"/>
        <v>OK</v>
      </c>
    </row>
    <row r="12" spans="1:12" x14ac:dyDescent="0.2">
      <c r="A12" t="str">
        <f>Internal_Trades!A12</f>
        <v>TR011</v>
      </c>
      <c r="B12" s="20" t="str">
        <f>Internal_Trades!C12</f>
        <v>GS</v>
      </c>
      <c r="C12">
        <f>Internal_Trades!E12</f>
        <v>250</v>
      </c>
      <c r="D12">
        <f>Internal_Trades!F12</f>
        <v>485.6</v>
      </c>
      <c r="E12" s="2" t="str">
        <f>Internal_Trades!H12</f>
        <v>Pending</v>
      </c>
      <c r="F12" s="2" t="str">
        <f>IFERROR(_xlfn.XLOOKUP(B12,Broker_Confirms!C:C,Broker_Confirms!E:E),"NOT FOUND")</f>
        <v>NOT FOUND</v>
      </c>
      <c r="G12" s="2" t="str">
        <f>IFERROR(_xlfn.XLOOKUP(B12,Broker_Confirms!C:C,Broker_Confirms!F:F),"NOT FOUND")</f>
        <v>NOT FOUND</v>
      </c>
      <c r="H12" s="2" t="str">
        <f>IFERROR(_xlfn.XLOOKUP(B12,Broker_Confirms!C:C,Broker_Confirms!H:H),"NOT FOUND")</f>
        <v>NOT FOUND</v>
      </c>
      <c r="I12" s="2" t="str">
        <f t="shared" si="0"/>
        <v>MISSING</v>
      </c>
      <c r="J12" s="2" t="str">
        <f t="shared" si="1"/>
        <v>MISSING</v>
      </c>
      <c r="K12" s="2" t="str">
        <f t="shared" si="2"/>
        <v>MISSING</v>
      </c>
      <c r="L12" s="20" t="str">
        <f t="shared" si="3"/>
        <v>MISSING TRADE</v>
      </c>
    </row>
    <row r="13" spans="1:12" x14ac:dyDescent="0.2">
      <c r="A13" t="str">
        <f>Internal_Trades!A13</f>
        <v>TR012</v>
      </c>
      <c r="B13" s="20" t="str">
        <f>Internal_Trades!C13</f>
        <v>NFLX</v>
      </c>
      <c r="C13">
        <f>Internal_Trades!E13</f>
        <v>400</v>
      </c>
      <c r="D13">
        <f>Internal_Trades!F13</f>
        <v>625.79999999999995</v>
      </c>
      <c r="E13" s="2" t="str">
        <f>Internal_Trades!H13</f>
        <v>Settled</v>
      </c>
      <c r="F13" s="2">
        <f>IFERROR(_xlfn.XLOOKUP(B13,Broker_Confirms!C:C,Broker_Confirms!E:E),"NOT FOUND")</f>
        <v>400</v>
      </c>
      <c r="G13" s="2">
        <f>IFERROR(_xlfn.XLOOKUP(B13,Broker_Confirms!C:C,Broker_Confirms!F:F),"NOT FOUND")</f>
        <v>625.79999999999995</v>
      </c>
      <c r="H13" s="2" t="str">
        <f>IFERROR(_xlfn.XLOOKUP(B13,Broker_Confirms!C:C,Broker_Confirms!H:H),"NOT FOUND")</f>
        <v>Settled</v>
      </c>
      <c r="I13" s="2" t="str">
        <f t="shared" si="0"/>
        <v>MATCH</v>
      </c>
      <c r="J13" s="2" t="str">
        <f t="shared" si="1"/>
        <v>MATCH</v>
      </c>
      <c r="K13" s="2" t="str">
        <f t="shared" si="2"/>
        <v>MATCH</v>
      </c>
      <c r="L13" s="20" t="str">
        <f t="shared" si="3"/>
        <v>OK</v>
      </c>
    </row>
    <row r="14" spans="1:12" x14ac:dyDescent="0.2">
      <c r="A14" t="str">
        <f>Internal_Trades!A14</f>
        <v>TR013</v>
      </c>
      <c r="B14" s="20" t="str">
        <f>Internal_Trades!C14</f>
        <v>DIS</v>
      </c>
      <c r="C14">
        <f>Internal_Trades!E14</f>
        <v>800</v>
      </c>
      <c r="D14">
        <f>Internal_Trades!F14</f>
        <v>112.4</v>
      </c>
      <c r="E14" s="2" t="str">
        <f>Internal_Trades!H14</f>
        <v>Settled</v>
      </c>
      <c r="F14" s="2">
        <f>IFERROR(_xlfn.XLOOKUP(B14,Broker_Confirms!C:C,Broker_Confirms!E:E),"NOT FOUND")</f>
        <v>798</v>
      </c>
      <c r="G14" s="2">
        <f>IFERROR(_xlfn.XLOOKUP(B14,Broker_Confirms!C:C,Broker_Confirms!F:F),"NOT FOUND")</f>
        <v>112.4</v>
      </c>
      <c r="H14" s="2" t="str">
        <f>IFERROR(_xlfn.XLOOKUP(B14,Broker_Confirms!C:C,Broker_Confirms!H:H),"NOT FOUND")</f>
        <v>Settled</v>
      </c>
      <c r="I14" s="2" t="str">
        <f t="shared" si="0"/>
        <v>BREAK</v>
      </c>
      <c r="J14" s="2" t="str">
        <f t="shared" si="1"/>
        <v>MATCH</v>
      </c>
      <c r="K14" s="2" t="str">
        <f t="shared" si="2"/>
        <v>MATCH</v>
      </c>
      <c r="L14" s="20" t="str">
        <f t="shared" si="3"/>
        <v>QTY BREAK</v>
      </c>
    </row>
    <row r="15" spans="1:12" x14ac:dyDescent="0.2">
      <c r="A15" t="str">
        <f>Internal_Trades!A15</f>
        <v>TR014</v>
      </c>
      <c r="B15" s="20" t="str">
        <f>Internal_Trades!C15</f>
        <v>BA</v>
      </c>
      <c r="C15">
        <f>Internal_Trades!E15</f>
        <v>300</v>
      </c>
      <c r="D15">
        <f>Internal_Trades!F15</f>
        <v>178.9</v>
      </c>
      <c r="E15" s="2" t="str">
        <f>Internal_Trades!H15</f>
        <v>Settled</v>
      </c>
      <c r="F15" s="2">
        <f>IFERROR(_xlfn.XLOOKUP(B15,Broker_Confirms!C:C,Broker_Confirms!E:E),"NOT FOUND")</f>
        <v>300</v>
      </c>
      <c r="G15" s="2">
        <f>IFERROR(_xlfn.XLOOKUP(B15,Broker_Confirms!C:C,Broker_Confirms!F:F),"NOT FOUND")</f>
        <v>178.9</v>
      </c>
      <c r="H15" s="2" t="str">
        <f>IFERROR(_xlfn.XLOOKUP(B15,Broker_Confirms!C:C,Broker_Confirms!H:H),"NOT FOUND")</f>
        <v>Settled</v>
      </c>
      <c r="I15" s="2" t="str">
        <f t="shared" si="0"/>
        <v>MATCH</v>
      </c>
      <c r="J15" s="2" t="str">
        <f t="shared" si="1"/>
        <v>MATCH</v>
      </c>
      <c r="K15" s="2" t="str">
        <f t="shared" si="2"/>
        <v>MATCH</v>
      </c>
      <c r="L15" s="20" t="str">
        <f t="shared" si="3"/>
        <v>OK</v>
      </c>
    </row>
    <row r="16" spans="1:12" x14ac:dyDescent="0.2">
      <c r="A16" t="str">
        <f>Internal_Trades!A16</f>
        <v>TR015</v>
      </c>
      <c r="B16" s="20" t="str">
        <f>Internal_Trades!C16</f>
        <v>ORCL</v>
      </c>
      <c r="C16">
        <f>Internal_Trades!E16</f>
        <v>1000</v>
      </c>
      <c r="D16">
        <f>Internal_Trades!F16</f>
        <v>138.25</v>
      </c>
      <c r="E16" s="2" t="str">
        <f>Internal_Trades!H16</f>
        <v>Settled</v>
      </c>
      <c r="F16" s="2">
        <f>IFERROR(_xlfn.XLOOKUP(B16,Broker_Confirms!C:C,Broker_Confirms!E:E),"NOT FOUND")</f>
        <v>1000</v>
      </c>
      <c r="G16" s="2">
        <f>IFERROR(_xlfn.XLOOKUP(B16,Broker_Confirms!C:C,Broker_Confirms!F:F),"NOT FOUND")</f>
        <v>138.25</v>
      </c>
      <c r="H16" s="2" t="str">
        <f>IFERROR(_xlfn.XLOOKUP(B16,Broker_Confirms!C:C,Broker_Confirms!H:H),"NOT FOUND")</f>
        <v>Settled</v>
      </c>
      <c r="I16" s="2" t="str">
        <f t="shared" si="0"/>
        <v>MATCH</v>
      </c>
      <c r="J16" s="2" t="str">
        <f t="shared" si="1"/>
        <v>MATCH</v>
      </c>
      <c r="K16" s="2" t="str">
        <f t="shared" si="2"/>
        <v>MATCH</v>
      </c>
      <c r="L16" s="20" t="str">
        <f t="shared" si="3"/>
        <v>OK</v>
      </c>
    </row>
    <row r="17" spans="1:12" x14ac:dyDescent="0.2">
      <c r="A17" t="str">
        <f>Internal_Trades!A17</f>
        <v>TR016</v>
      </c>
      <c r="B17" s="20" t="str">
        <f>Internal_Trades!C17</f>
        <v>CRM</v>
      </c>
      <c r="C17">
        <f>Internal_Trades!E17</f>
        <v>500</v>
      </c>
      <c r="D17">
        <f>Internal_Trades!F17</f>
        <v>285.60000000000002</v>
      </c>
      <c r="E17" s="2" t="str">
        <f>Internal_Trades!H17</f>
        <v>Settled</v>
      </c>
      <c r="F17" s="2">
        <f>IFERROR(_xlfn.XLOOKUP(B17,Broker_Confirms!C:C,Broker_Confirms!E:E),"NOT FOUND")</f>
        <v>500</v>
      </c>
      <c r="G17" s="2">
        <f>IFERROR(_xlfn.XLOOKUP(B17,Broker_Confirms!C:C,Broker_Confirms!F:F),"NOT FOUND")</f>
        <v>285.60000000000002</v>
      </c>
      <c r="H17" s="2" t="str">
        <f>IFERROR(_xlfn.XLOOKUP(B17,Broker_Confirms!C:C,Broker_Confirms!H:H),"NOT FOUND")</f>
        <v>Settled</v>
      </c>
      <c r="I17" s="2" t="str">
        <f t="shared" si="0"/>
        <v>MATCH</v>
      </c>
      <c r="J17" s="2" t="str">
        <f t="shared" si="1"/>
        <v>MATCH</v>
      </c>
      <c r="K17" s="2" t="str">
        <f t="shared" si="2"/>
        <v>MATCH</v>
      </c>
      <c r="L17" s="20" t="str">
        <f t="shared" si="3"/>
        <v>OK</v>
      </c>
    </row>
    <row r="18" spans="1:12" x14ac:dyDescent="0.2">
      <c r="A18" t="str">
        <f>Internal_Trades!A18</f>
        <v>TR017</v>
      </c>
      <c r="B18" s="20" t="str">
        <f>Internal_Trades!C18</f>
        <v>AMD</v>
      </c>
      <c r="C18">
        <f>Internal_Trades!E18</f>
        <v>900</v>
      </c>
      <c r="D18">
        <f>Internal_Trades!F18</f>
        <v>165.4</v>
      </c>
      <c r="E18" s="2" t="str">
        <f>Internal_Trades!H18</f>
        <v>Settled</v>
      </c>
      <c r="F18" s="2">
        <f>IFERROR(_xlfn.XLOOKUP(B18,Broker_Confirms!C:C,Broker_Confirms!E:E),"NOT FOUND")</f>
        <v>900</v>
      </c>
      <c r="G18" s="2">
        <f>IFERROR(_xlfn.XLOOKUP(B18,Broker_Confirms!C:C,Broker_Confirms!F:F),"NOT FOUND")</f>
        <v>165.4</v>
      </c>
      <c r="H18" s="2" t="str">
        <f>IFERROR(_xlfn.XLOOKUP(B18,Broker_Confirms!C:C,Broker_Confirms!H:H),"NOT FOUND")</f>
        <v>Settled</v>
      </c>
      <c r="I18" s="2" t="str">
        <f t="shared" si="0"/>
        <v>MATCH</v>
      </c>
      <c r="J18" s="2" t="str">
        <f t="shared" si="1"/>
        <v>MATCH</v>
      </c>
      <c r="K18" s="2" t="str">
        <f t="shared" si="2"/>
        <v>MATCH</v>
      </c>
      <c r="L18" s="20" t="str">
        <f t="shared" si="3"/>
        <v>OK</v>
      </c>
    </row>
    <row r="19" spans="1:12" x14ac:dyDescent="0.2">
      <c r="A19" t="str">
        <f>Internal_Trades!A19</f>
        <v>TR018</v>
      </c>
      <c r="B19" s="20" t="str">
        <f>Internal_Trades!C19</f>
        <v>INTC</v>
      </c>
      <c r="C19">
        <f>Internal_Trades!E19</f>
        <v>400</v>
      </c>
      <c r="D19">
        <f>Internal_Trades!F19</f>
        <v>45.8</v>
      </c>
      <c r="E19" s="2" t="str">
        <f>Internal_Trades!H19</f>
        <v>Settled</v>
      </c>
      <c r="F19" s="2">
        <f>IFERROR(_xlfn.XLOOKUP(B19,Broker_Confirms!C:C,Broker_Confirms!E:E),"NOT FOUND")</f>
        <v>400</v>
      </c>
      <c r="G19" s="2">
        <f>IFERROR(_xlfn.XLOOKUP(B19,Broker_Confirms!C:C,Broker_Confirms!F:F),"NOT FOUND")</f>
        <v>45.8</v>
      </c>
      <c r="H19" s="2" t="str">
        <f>IFERROR(_xlfn.XLOOKUP(B19,Broker_Confirms!C:C,Broker_Confirms!H:H),"NOT FOUND")</f>
        <v>Settled</v>
      </c>
      <c r="I19" s="2" t="str">
        <f t="shared" si="0"/>
        <v>MATCH</v>
      </c>
      <c r="J19" s="2" t="str">
        <f t="shared" si="1"/>
        <v>MATCH</v>
      </c>
      <c r="K19" s="2" t="str">
        <f t="shared" si="2"/>
        <v>MATCH</v>
      </c>
      <c r="L19" s="20" t="str">
        <f t="shared" si="3"/>
        <v>OK</v>
      </c>
    </row>
    <row r="20" spans="1:12" x14ac:dyDescent="0.2">
      <c r="A20" t="str">
        <f>Internal_Trades!A20</f>
        <v>TR019</v>
      </c>
      <c r="B20" s="20" t="str">
        <f>Internal_Trades!C20</f>
        <v>PYPL</v>
      </c>
      <c r="C20">
        <f>Internal_Trades!E20</f>
        <v>350</v>
      </c>
      <c r="D20">
        <f>Internal_Trades!F20</f>
        <v>78.25</v>
      </c>
      <c r="E20" s="2" t="str">
        <f>Internal_Trades!H20</f>
        <v>Settled</v>
      </c>
      <c r="F20" s="2">
        <f>IFERROR(_xlfn.XLOOKUP(B20,Broker_Confirms!C:C,Broker_Confirms!E:E),"NOT FOUND")</f>
        <v>350</v>
      </c>
      <c r="G20" s="2">
        <f>IFERROR(_xlfn.XLOOKUP(B20,Broker_Confirms!C:C,Broker_Confirms!F:F),"NOT FOUND")</f>
        <v>78.349999999999994</v>
      </c>
      <c r="H20" s="2" t="str">
        <f>IFERROR(_xlfn.XLOOKUP(B20,Broker_Confirms!C:C,Broker_Confirms!H:H),"NOT FOUND")</f>
        <v>Settled</v>
      </c>
      <c r="I20" s="2" t="str">
        <f t="shared" si="0"/>
        <v>MATCH</v>
      </c>
      <c r="J20" s="2" t="str">
        <f t="shared" si="1"/>
        <v>BREAK</v>
      </c>
      <c r="K20" s="2" t="str">
        <f t="shared" si="2"/>
        <v>MATCH</v>
      </c>
      <c r="L20" s="20" t="str">
        <f t="shared" si="3"/>
        <v>PRICE BREAK</v>
      </c>
    </row>
    <row r="21" spans="1:12" x14ac:dyDescent="0.2">
      <c r="A21" t="str">
        <f>Internal_Trades!A21</f>
        <v>TR020</v>
      </c>
      <c r="B21" s="20" t="str">
        <f>Internal_Trades!C21</f>
        <v>UBER</v>
      </c>
      <c r="C21">
        <f>Internal_Trades!E21</f>
        <v>600</v>
      </c>
      <c r="D21">
        <f>Internal_Trades!F21</f>
        <v>72.150000000000006</v>
      </c>
      <c r="E21" s="2" t="str">
        <f>Internal_Trades!H21</f>
        <v>Settled</v>
      </c>
      <c r="F21" s="2">
        <f>IFERROR(_xlfn.XLOOKUP(B21,Broker_Confirms!C:C,Broker_Confirms!E:E),"NOT FOUND")</f>
        <v>600</v>
      </c>
      <c r="G21" s="2">
        <f>IFERROR(_xlfn.XLOOKUP(B21,Broker_Confirms!C:C,Broker_Confirms!F:F),"NOT FOUND")</f>
        <v>72.150000000000006</v>
      </c>
      <c r="H21" s="2" t="str">
        <f>IFERROR(_xlfn.XLOOKUP(B21,Broker_Confirms!C:C,Broker_Confirms!H:H),"NOT FOUND")</f>
        <v>Settled</v>
      </c>
      <c r="I21" s="2" t="str">
        <f t="shared" si="0"/>
        <v>MATCH</v>
      </c>
      <c r="J21" s="2" t="str">
        <f t="shared" si="1"/>
        <v>MATCH</v>
      </c>
      <c r="K21" s="2" t="str">
        <f t="shared" si="2"/>
        <v>MATCH</v>
      </c>
      <c r="L21" s="20" t="str">
        <f t="shared" si="3"/>
        <v>OK</v>
      </c>
    </row>
    <row r="22" spans="1:12" x14ac:dyDescent="0.2">
      <c r="A22" t="str">
        <f>Internal_Trades!A22</f>
        <v>TR021</v>
      </c>
      <c r="B22" s="20" t="str">
        <f>Internal_Trades!C22</f>
        <v>PFE</v>
      </c>
      <c r="C22">
        <f>Internal_Trades!E22</f>
        <v>800</v>
      </c>
      <c r="D22">
        <f>Internal_Trades!F22</f>
        <v>28.9</v>
      </c>
      <c r="E22" s="2" t="str">
        <f>Internal_Trades!H22</f>
        <v>Settled</v>
      </c>
      <c r="F22" s="2">
        <f>IFERROR(_xlfn.XLOOKUP(B22,Broker_Confirms!C:C,Broker_Confirms!E:E),"NOT FOUND")</f>
        <v>800</v>
      </c>
      <c r="G22" s="2">
        <f>IFERROR(_xlfn.XLOOKUP(B22,Broker_Confirms!C:C,Broker_Confirms!F:F),"NOT FOUND")</f>
        <v>28.9</v>
      </c>
      <c r="H22" s="2" t="str">
        <f>IFERROR(_xlfn.XLOOKUP(B22,Broker_Confirms!C:C,Broker_Confirms!H:H),"NOT FOUND")</f>
        <v>Settled</v>
      </c>
      <c r="I22" s="2" t="str">
        <f t="shared" si="0"/>
        <v>MATCH</v>
      </c>
      <c r="J22" s="2" t="str">
        <f t="shared" si="1"/>
        <v>MATCH</v>
      </c>
      <c r="K22" s="2" t="str">
        <f t="shared" si="2"/>
        <v>MATCH</v>
      </c>
      <c r="L22" s="20" t="str">
        <f t="shared" si="3"/>
        <v>OK</v>
      </c>
    </row>
    <row r="23" spans="1:12" x14ac:dyDescent="0.2">
      <c r="A23" t="str">
        <f>Internal_Trades!A23</f>
        <v>TR022</v>
      </c>
      <c r="B23" s="20" t="str">
        <f>Internal_Trades!C23</f>
        <v>JNJ</v>
      </c>
      <c r="C23">
        <f>Internal_Trades!E23</f>
        <v>450</v>
      </c>
      <c r="D23">
        <f>Internal_Trades!F23</f>
        <v>162.30000000000001</v>
      </c>
      <c r="E23" s="2" t="str">
        <f>Internal_Trades!H23</f>
        <v>Settled</v>
      </c>
      <c r="F23" s="2">
        <f>IFERROR(_xlfn.XLOOKUP(B23,Broker_Confirms!C:C,Broker_Confirms!E:E),"NOT FOUND")</f>
        <v>450</v>
      </c>
      <c r="G23" s="2">
        <f>IFERROR(_xlfn.XLOOKUP(B23,Broker_Confirms!C:C,Broker_Confirms!F:F),"NOT FOUND")</f>
        <v>162.30000000000001</v>
      </c>
      <c r="H23" s="2" t="str">
        <f>IFERROR(_xlfn.XLOOKUP(B23,Broker_Confirms!C:C,Broker_Confirms!H:H),"NOT FOUND")</f>
        <v>Settled</v>
      </c>
      <c r="I23" s="2" t="str">
        <f t="shared" si="0"/>
        <v>MATCH</v>
      </c>
      <c r="J23" s="2" t="str">
        <f t="shared" si="1"/>
        <v>MATCH</v>
      </c>
      <c r="K23" s="2" t="str">
        <f t="shared" si="2"/>
        <v>MATCH</v>
      </c>
      <c r="L23" s="20" t="str">
        <f t="shared" si="3"/>
        <v>OK</v>
      </c>
    </row>
    <row r="24" spans="1:12" x14ac:dyDescent="0.2">
      <c r="A24" t="str">
        <f>Internal_Trades!A24</f>
        <v>TR023</v>
      </c>
      <c r="B24" s="20" t="str">
        <f>Internal_Trades!C24</f>
        <v>XOM</v>
      </c>
      <c r="C24">
        <f>Internal_Trades!E24</f>
        <v>550</v>
      </c>
      <c r="D24">
        <f>Internal_Trades!F24</f>
        <v>118.6</v>
      </c>
      <c r="E24" s="2" t="str">
        <f>Internal_Trades!H24</f>
        <v>Settled</v>
      </c>
      <c r="F24" s="2">
        <f>IFERROR(_xlfn.XLOOKUP(B24,Broker_Confirms!C:C,Broker_Confirms!E:E),"NOT FOUND")</f>
        <v>550</v>
      </c>
      <c r="G24" s="2">
        <f>IFERROR(_xlfn.XLOOKUP(B24,Broker_Confirms!C:C,Broker_Confirms!F:F),"NOT FOUND")</f>
        <v>118.6</v>
      </c>
      <c r="H24" s="2" t="str">
        <f>IFERROR(_xlfn.XLOOKUP(B24,Broker_Confirms!C:C,Broker_Confirms!H:H),"NOT FOUND")</f>
        <v>Settled</v>
      </c>
      <c r="I24" s="2" t="str">
        <f t="shared" si="0"/>
        <v>MATCH</v>
      </c>
      <c r="J24" s="2" t="str">
        <f t="shared" si="1"/>
        <v>MATCH</v>
      </c>
      <c r="K24" s="2" t="str">
        <f t="shared" si="2"/>
        <v>MATCH</v>
      </c>
      <c r="L24" s="20" t="str">
        <f t="shared" si="3"/>
        <v>OK</v>
      </c>
    </row>
    <row r="25" spans="1:12" x14ac:dyDescent="0.2">
      <c r="A25" t="str">
        <f>Internal_Trades!A25</f>
        <v>TR024</v>
      </c>
      <c r="B25" s="20" t="str">
        <f>Internal_Trades!C25</f>
        <v>CVX</v>
      </c>
      <c r="C25">
        <f>Internal_Trades!E25</f>
        <v>300</v>
      </c>
      <c r="D25">
        <f>Internal_Trades!F25</f>
        <v>158.4</v>
      </c>
      <c r="E25" s="2" t="str">
        <f>Internal_Trades!H25</f>
        <v>Settled</v>
      </c>
      <c r="F25" s="2">
        <f>IFERROR(_xlfn.XLOOKUP(B25,Broker_Confirms!C:C,Broker_Confirms!E:E),"NOT FOUND")</f>
        <v>300</v>
      </c>
      <c r="G25" s="2">
        <f>IFERROR(_xlfn.XLOOKUP(B25,Broker_Confirms!C:C,Broker_Confirms!F:F),"NOT FOUND")</f>
        <v>158.4</v>
      </c>
      <c r="H25" s="2" t="str">
        <f>IFERROR(_xlfn.XLOOKUP(B25,Broker_Confirms!C:C,Broker_Confirms!H:H),"NOT FOUND")</f>
        <v>Settled</v>
      </c>
      <c r="I25" s="2" t="str">
        <f t="shared" si="0"/>
        <v>MATCH</v>
      </c>
      <c r="J25" s="2" t="str">
        <f t="shared" si="1"/>
        <v>MATCH</v>
      </c>
      <c r="K25" s="2" t="str">
        <f t="shared" si="2"/>
        <v>MATCH</v>
      </c>
      <c r="L25" s="20" t="str">
        <f t="shared" si="3"/>
        <v>OK</v>
      </c>
    </row>
    <row r="26" spans="1:12" x14ac:dyDescent="0.2">
      <c r="A26" t="str">
        <f>Internal_Trades!A26</f>
        <v>TR025</v>
      </c>
      <c r="B26" s="20" t="str">
        <f>Internal_Trades!C26</f>
        <v>WMT</v>
      </c>
      <c r="C26">
        <f>Internal_Trades!E26</f>
        <v>700</v>
      </c>
      <c r="D26">
        <f>Internal_Trades!F26</f>
        <v>165.8</v>
      </c>
      <c r="E26" s="2" t="str">
        <f>Internal_Trades!H26</f>
        <v>Settled</v>
      </c>
      <c r="F26" s="2">
        <f>IFERROR(_xlfn.XLOOKUP(B26,Broker_Confirms!C:C,Broker_Confirms!E:E),"NOT FOUND")</f>
        <v>698</v>
      </c>
      <c r="G26" s="2">
        <f>IFERROR(_xlfn.XLOOKUP(B26,Broker_Confirms!C:C,Broker_Confirms!F:F),"NOT FOUND")</f>
        <v>165.8</v>
      </c>
      <c r="H26" s="2" t="str">
        <f>IFERROR(_xlfn.XLOOKUP(B26,Broker_Confirms!C:C,Broker_Confirms!H:H),"NOT FOUND")</f>
        <v>Settled</v>
      </c>
      <c r="I26" s="2" t="str">
        <f t="shared" si="0"/>
        <v>BREAK</v>
      </c>
      <c r="J26" s="2" t="str">
        <f t="shared" si="1"/>
        <v>MATCH</v>
      </c>
      <c r="K26" s="2" t="str">
        <f t="shared" si="2"/>
        <v>MATCH</v>
      </c>
      <c r="L26" s="20" t="str">
        <f t="shared" si="3"/>
        <v>QTY BREAK</v>
      </c>
    </row>
    <row r="27" spans="1:12" x14ac:dyDescent="0.2">
      <c r="A27" t="str">
        <f>Internal_Trades!A27</f>
        <v>TR026</v>
      </c>
      <c r="B27" s="20" t="str">
        <f>Internal_Trades!C27</f>
        <v>HD</v>
      </c>
      <c r="C27">
        <f>Internal_Trades!E27</f>
        <v>250</v>
      </c>
      <c r="D27">
        <f>Internal_Trades!F27</f>
        <v>385.2</v>
      </c>
      <c r="E27" s="2" t="str">
        <f>Internal_Trades!H27</f>
        <v>Settled</v>
      </c>
      <c r="F27" s="2">
        <f>IFERROR(_xlfn.XLOOKUP(B27,Broker_Confirms!C:C,Broker_Confirms!E:E),"NOT FOUND")</f>
        <v>250</v>
      </c>
      <c r="G27" s="2">
        <f>IFERROR(_xlfn.XLOOKUP(B27,Broker_Confirms!C:C,Broker_Confirms!F:F),"NOT FOUND")</f>
        <v>385.2</v>
      </c>
      <c r="H27" s="2" t="str">
        <f>IFERROR(_xlfn.XLOOKUP(B27,Broker_Confirms!C:C,Broker_Confirms!H:H),"NOT FOUND")</f>
        <v>Settled</v>
      </c>
      <c r="I27" s="2" t="str">
        <f t="shared" si="0"/>
        <v>MATCH</v>
      </c>
      <c r="J27" s="2" t="str">
        <f t="shared" si="1"/>
        <v>MATCH</v>
      </c>
      <c r="K27" s="2" t="str">
        <f t="shared" si="2"/>
        <v>MATCH</v>
      </c>
      <c r="L27" s="20" t="str">
        <f t="shared" si="3"/>
        <v>OK</v>
      </c>
    </row>
    <row r="28" spans="1:12" x14ac:dyDescent="0.2">
      <c r="A28" t="str">
        <f>Internal_Trades!A28</f>
        <v>TR027</v>
      </c>
      <c r="B28" s="20" t="str">
        <f>Internal_Trades!C28</f>
        <v>UNH</v>
      </c>
      <c r="C28">
        <f>Internal_Trades!E28</f>
        <v>180</v>
      </c>
      <c r="D28">
        <f>Internal_Trades!F28</f>
        <v>512.4</v>
      </c>
      <c r="E28" s="2" t="str">
        <f>Internal_Trades!H28</f>
        <v>Settled</v>
      </c>
      <c r="F28" s="2">
        <f>IFERROR(_xlfn.XLOOKUP(B28,Broker_Confirms!C:C,Broker_Confirms!E:E),"NOT FOUND")</f>
        <v>180</v>
      </c>
      <c r="G28" s="2">
        <f>IFERROR(_xlfn.XLOOKUP(B28,Broker_Confirms!C:C,Broker_Confirms!F:F),"NOT FOUND")</f>
        <v>512.4</v>
      </c>
      <c r="H28" s="2" t="str">
        <f>IFERROR(_xlfn.XLOOKUP(B28,Broker_Confirms!C:C,Broker_Confirms!H:H),"NOT FOUND")</f>
        <v>Settled</v>
      </c>
      <c r="I28" s="2" t="str">
        <f t="shared" si="0"/>
        <v>MATCH</v>
      </c>
      <c r="J28" s="2" t="str">
        <f t="shared" si="1"/>
        <v>MATCH</v>
      </c>
      <c r="K28" s="2" t="str">
        <f t="shared" si="2"/>
        <v>MATCH</v>
      </c>
      <c r="L28" s="20" t="str">
        <f t="shared" si="3"/>
        <v>OK</v>
      </c>
    </row>
    <row r="29" spans="1:12" x14ac:dyDescent="0.2">
      <c r="A29" t="str">
        <f>Internal_Trades!A29</f>
        <v>TR028</v>
      </c>
      <c r="B29" s="20" t="str">
        <f>Internal_Trades!C29</f>
        <v>LLY</v>
      </c>
      <c r="C29">
        <f>Internal_Trades!E29</f>
        <v>220</v>
      </c>
      <c r="D29">
        <f>Internal_Trades!F29</f>
        <v>785.6</v>
      </c>
      <c r="E29" s="2" t="str">
        <f>Internal_Trades!H29</f>
        <v>Settled</v>
      </c>
      <c r="F29" s="2">
        <f>IFERROR(_xlfn.XLOOKUP(B29,Broker_Confirms!C:C,Broker_Confirms!E:E),"NOT FOUND")</f>
        <v>220</v>
      </c>
      <c r="G29" s="2">
        <f>IFERROR(_xlfn.XLOOKUP(B29,Broker_Confirms!C:C,Broker_Confirms!F:F),"NOT FOUND")</f>
        <v>785.6</v>
      </c>
      <c r="H29" s="2" t="str">
        <f>IFERROR(_xlfn.XLOOKUP(B29,Broker_Confirms!C:C,Broker_Confirms!H:H),"NOT FOUND")</f>
        <v>Settled</v>
      </c>
      <c r="I29" s="2" t="str">
        <f t="shared" si="0"/>
        <v>MATCH</v>
      </c>
      <c r="J29" s="2" t="str">
        <f t="shared" si="1"/>
        <v>MATCH</v>
      </c>
      <c r="K29" s="2" t="str">
        <f t="shared" si="2"/>
        <v>MATCH</v>
      </c>
      <c r="L29" s="20" t="str">
        <f t="shared" si="3"/>
        <v>OK</v>
      </c>
    </row>
    <row r="30" spans="1:12" x14ac:dyDescent="0.2">
      <c r="A30" t="str">
        <f>Internal_Trades!A30</f>
        <v>TR029</v>
      </c>
      <c r="B30" s="20" t="str">
        <f>Internal_Trades!C30</f>
        <v>ABBV</v>
      </c>
      <c r="C30">
        <f>Internal_Trades!E30</f>
        <v>500</v>
      </c>
      <c r="D30">
        <f>Internal_Trades!F30</f>
        <v>175.3</v>
      </c>
      <c r="E30" s="2" t="str">
        <f>Internal_Trades!H30</f>
        <v>Settled</v>
      </c>
      <c r="F30" s="2">
        <f>IFERROR(_xlfn.XLOOKUP(B30,Broker_Confirms!C:C,Broker_Confirms!E:E),"NOT FOUND")</f>
        <v>500</v>
      </c>
      <c r="G30" s="2">
        <f>IFERROR(_xlfn.XLOOKUP(B30,Broker_Confirms!C:C,Broker_Confirms!F:F),"NOT FOUND")</f>
        <v>175.3</v>
      </c>
      <c r="H30" s="2" t="str">
        <f>IFERROR(_xlfn.XLOOKUP(B30,Broker_Confirms!C:C,Broker_Confirms!H:H),"NOT FOUND")</f>
        <v>Settled</v>
      </c>
      <c r="I30" s="2" t="str">
        <f t="shared" si="0"/>
        <v>MATCH</v>
      </c>
      <c r="J30" s="2" t="str">
        <f t="shared" si="1"/>
        <v>MATCH</v>
      </c>
      <c r="K30" s="2" t="str">
        <f t="shared" si="2"/>
        <v>MATCH</v>
      </c>
      <c r="L30" s="20" t="str">
        <f t="shared" si="3"/>
        <v>OK</v>
      </c>
    </row>
    <row r="31" spans="1:12" x14ac:dyDescent="0.2">
      <c r="A31" t="str">
        <f>Internal_Trades!A31</f>
        <v>TR030</v>
      </c>
      <c r="B31" s="20" t="str">
        <f>Internal_Trades!C31</f>
        <v>PEP</v>
      </c>
      <c r="C31">
        <f>Internal_Trades!E31</f>
        <v>400</v>
      </c>
      <c r="D31">
        <f>Internal_Trades!F31</f>
        <v>172.9</v>
      </c>
      <c r="E31" s="2" t="str">
        <f>Internal_Trades!H31</f>
        <v>Settled</v>
      </c>
      <c r="F31" s="2">
        <f>IFERROR(_xlfn.XLOOKUP(B31,Broker_Confirms!C:C,Broker_Confirms!E:E),"NOT FOUND")</f>
        <v>400</v>
      </c>
      <c r="G31" s="2">
        <f>IFERROR(_xlfn.XLOOKUP(B31,Broker_Confirms!C:C,Broker_Confirms!F:F),"NOT FOUND")</f>
        <v>172.9</v>
      </c>
      <c r="H31" s="2" t="str">
        <f>IFERROR(_xlfn.XLOOKUP(B31,Broker_Confirms!C:C,Broker_Confirms!H:H),"NOT FOUND")</f>
        <v>Settled</v>
      </c>
      <c r="I31" s="2" t="str">
        <f t="shared" si="0"/>
        <v>MATCH</v>
      </c>
      <c r="J31" s="2" t="str">
        <f t="shared" si="1"/>
        <v>MATCH</v>
      </c>
      <c r="K31" s="2" t="str">
        <f t="shared" si="2"/>
        <v>MATCH</v>
      </c>
      <c r="L31" s="20" t="str">
        <f t="shared" si="3"/>
        <v>OK</v>
      </c>
    </row>
    <row r="32" spans="1:12" x14ac:dyDescent="0.2">
      <c r="A32" t="str">
        <f>Internal_Trades!A32</f>
        <v>TR031</v>
      </c>
      <c r="B32" s="20" t="str">
        <f>Internal_Trades!C32</f>
        <v>KO</v>
      </c>
      <c r="C32">
        <f>Internal_Trades!E32</f>
        <v>900</v>
      </c>
      <c r="D32">
        <f>Internal_Trades!F32</f>
        <v>64.5</v>
      </c>
      <c r="E32" s="2" t="str">
        <f>Internal_Trades!H32</f>
        <v>Pending</v>
      </c>
      <c r="F32" s="2">
        <f>IFERROR(_xlfn.XLOOKUP(B32,Broker_Confirms!C:C,Broker_Confirms!E:E),"NOT FOUND")</f>
        <v>900</v>
      </c>
      <c r="G32" s="2">
        <f>IFERROR(_xlfn.XLOOKUP(B32,Broker_Confirms!C:C,Broker_Confirms!F:F),"NOT FOUND")</f>
        <v>64.5</v>
      </c>
      <c r="H32" s="2" t="str">
        <f>IFERROR(_xlfn.XLOOKUP(B32,Broker_Confirms!C:C,Broker_Confirms!H:H),"NOT FOUND")</f>
        <v>Settled</v>
      </c>
      <c r="I32" s="2" t="str">
        <f t="shared" si="0"/>
        <v>MATCH</v>
      </c>
      <c r="J32" s="2" t="str">
        <f t="shared" si="1"/>
        <v>MATCH</v>
      </c>
      <c r="K32" s="2" t="str">
        <f t="shared" si="2"/>
        <v>BREAK</v>
      </c>
      <c r="L32" s="20" t="str">
        <f t="shared" si="3"/>
        <v>STATUS BREAK</v>
      </c>
    </row>
    <row r="33" spans="1:12" x14ac:dyDescent="0.2">
      <c r="A33" t="str">
        <f>Internal_Trades!A33</f>
        <v>TR032</v>
      </c>
      <c r="B33" s="20" t="str">
        <f>Internal_Trades!C33</f>
        <v>MCD</v>
      </c>
      <c r="C33">
        <f>Internal_Trades!E33</f>
        <v>300</v>
      </c>
      <c r="D33">
        <f>Internal_Trades!F33</f>
        <v>295.7</v>
      </c>
      <c r="E33" s="2" t="str">
        <f>Internal_Trades!H33</f>
        <v>Settled</v>
      </c>
      <c r="F33" s="2">
        <f>IFERROR(_xlfn.XLOOKUP(B33,Broker_Confirms!C:C,Broker_Confirms!E:E),"NOT FOUND")</f>
        <v>300</v>
      </c>
      <c r="G33" s="2">
        <f>IFERROR(_xlfn.XLOOKUP(B33,Broker_Confirms!C:C,Broker_Confirms!F:F),"NOT FOUND")</f>
        <v>295.7</v>
      </c>
      <c r="H33" s="2" t="str">
        <f>IFERROR(_xlfn.XLOOKUP(B33,Broker_Confirms!C:C,Broker_Confirms!H:H),"NOT FOUND")</f>
        <v>Settled</v>
      </c>
      <c r="I33" s="2" t="str">
        <f t="shared" si="0"/>
        <v>MATCH</v>
      </c>
      <c r="J33" s="2" t="str">
        <f t="shared" si="1"/>
        <v>MATCH</v>
      </c>
      <c r="K33" s="2" t="str">
        <f t="shared" si="2"/>
        <v>MATCH</v>
      </c>
      <c r="L33" s="20" t="str">
        <f t="shared" si="3"/>
        <v>OK</v>
      </c>
    </row>
    <row r="34" spans="1:12" x14ac:dyDescent="0.2">
      <c r="A34" t="str">
        <f>Internal_Trades!A34</f>
        <v>TR033</v>
      </c>
      <c r="B34" s="20" t="str">
        <f>Internal_Trades!C34</f>
        <v>NKE</v>
      </c>
      <c r="C34">
        <f>Internal_Trades!E34</f>
        <v>650</v>
      </c>
      <c r="D34">
        <f>Internal_Trades!F34</f>
        <v>108.4</v>
      </c>
      <c r="E34" s="2" t="str">
        <f>Internal_Trades!H34</f>
        <v>Settled</v>
      </c>
      <c r="F34" s="2">
        <f>IFERROR(_xlfn.XLOOKUP(B34,Broker_Confirms!C:C,Broker_Confirms!E:E),"NOT FOUND")</f>
        <v>650</v>
      </c>
      <c r="G34" s="2">
        <f>IFERROR(_xlfn.XLOOKUP(B34,Broker_Confirms!C:C,Broker_Confirms!F:F),"NOT FOUND")</f>
        <v>108.4</v>
      </c>
      <c r="H34" s="2" t="str">
        <f>IFERROR(_xlfn.XLOOKUP(B34,Broker_Confirms!C:C,Broker_Confirms!H:H),"NOT FOUND")</f>
        <v>Settled</v>
      </c>
      <c r="I34" s="2" t="str">
        <f t="shared" si="0"/>
        <v>MATCH</v>
      </c>
      <c r="J34" s="2" t="str">
        <f t="shared" si="1"/>
        <v>MATCH</v>
      </c>
      <c r="K34" s="2" t="str">
        <f t="shared" si="2"/>
        <v>MATCH</v>
      </c>
      <c r="L34" s="20" t="str">
        <f t="shared" si="3"/>
        <v>OK</v>
      </c>
    </row>
    <row r="35" spans="1:12" x14ac:dyDescent="0.2">
      <c r="A35" t="str">
        <f>Internal_Trades!A35</f>
        <v>TR034</v>
      </c>
      <c r="B35" s="20" t="str">
        <f>Internal_Trades!C35</f>
        <v>COST</v>
      </c>
      <c r="C35">
        <f>Internal_Trades!E35</f>
        <v>200</v>
      </c>
      <c r="D35">
        <f>Internal_Trades!F35</f>
        <v>865.3</v>
      </c>
      <c r="E35" s="2" t="str">
        <f>Internal_Trades!H35</f>
        <v>Settled</v>
      </c>
      <c r="F35" s="2">
        <f>IFERROR(_xlfn.XLOOKUP(B35,Broker_Confirms!C:C,Broker_Confirms!E:E),"NOT FOUND")</f>
        <v>200</v>
      </c>
      <c r="G35" s="2">
        <f>IFERROR(_xlfn.XLOOKUP(B35,Broker_Confirms!C:C,Broker_Confirms!F:F),"NOT FOUND")</f>
        <v>865.3</v>
      </c>
      <c r="H35" s="2" t="str">
        <f>IFERROR(_xlfn.XLOOKUP(B35,Broker_Confirms!C:C,Broker_Confirms!H:H),"NOT FOUND")</f>
        <v>Settled</v>
      </c>
      <c r="I35" s="2" t="str">
        <f t="shared" si="0"/>
        <v>MATCH</v>
      </c>
      <c r="J35" s="2" t="str">
        <f t="shared" si="1"/>
        <v>MATCH</v>
      </c>
      <c r="K35" s="2" t="str">
        <f t="shared" si="2"/>
        <v>MATCH</v>
      </c>
      <c r="L35" s="20" t="str">
        <f t="shared" si="3"/>
        <v>OK</v>
      </c>
    </row>
    <row r="36" spans="1:12" x14ac:dyDescent="0.2">
      <c r="A36" t="str">
        <f>Internal_Trades!A36</f>
        <v>TR035</v>
      </c>
      <c r="B36" s="20" t="str">
        <f>Internal_Trades!C36</f>
        <v>SBUX</v>
      </c>
      <c r="C36">
        <f>Internal_Trades!E36</f>
        <v>550</v>
      </c>
      <c r="D36">
        <f>Internal_Trades!F36</f>
        <v>98.75</v>
      </c>
      <c r="E36" s="2" t="str">
        <f>Internal_Trades!H36</f>
        <v>Settled</v>
      </c>
      <c r="F36" s="2">
        <f>IFERROR(_xlfn.XLOOKUP(B36,Broker_Confirms!C:C,Broker_Confirms!E:E),"NOT FOUND")</f>
        <v>550</v>
      </c>
      <c r="G36" s="2">
        <f>IFERROR(_xlfn.XLOOKUP(B36,Broker_Confirms!C:C,Broker_Confirms!F:F),"NOT FOUND")</f>
        <v>98.75</v>
      </c>
      <c r="H36" s="2" t="str">
        <f>IFERROR(_xlfn.XLOOKUP(B36,Broker_Confirms!C:C,Broker_Confirms!H:H),"NOT FOUND")</f>
        <v>Settled</v>
      </c>
      <c r="I36" s="2" t="str">
        <f t="shared" si="0"/>
        <v>MATCH</v>
      </c>
      <c r="J36" s="2" t="str">
        <f t="shared" si="1"/>
        <v>MATCH</v>
      </c>
      <c r="K36" s="2" t="str">
        <f t="shared" si="2"/>
        <v>MATCH</v>
      </c>
      <c r="L36" s="20" t="str">
        <f t="shared" si="3"/>
        <v>OK</v>
      </c>
    </row>
    <row r="37" spans="1:12" x14ac:dyDescent="0.2">
      <c r="A37" t="str">
        <f>Internal_Trades!A37</f>
        <v>TR036</v>
      </c>
      <c r="B37" s="20" t="str">
        <f>Internal_Trades!C37</f>
        <v>TGT</v>
      </c>
      <c r="C37">
        <f>Internal_Trades!E37</f>
        <v>450</v>
      </c>
      <c r="D37">
        <f>Internal_Trades!F37</f>
        <v>152.6</v>
      </c>
      <c r="E37" s="2" t="str">
        <f>Internal_Trades!H37</f>
        <v>Settled</v>
      </c>
      <c r="F37" s="2">
        <f>IFERROR(_xlfn.XLOOKUP(B37,Broker_Confirms!C:C,Broker_Confirms!E:E),"NOT FOUND")</f>
        <v>450</v>
      </c>
      <c r="G37" s="2">
        <f>IFERROR(_xlfn.XLOOKUP(B37,Broker_Confirms!C:C,Broker_Confirms!F:F),"NOT FOUND")</f>
        <v>152.6</v>
      </c>
      <c r="H37" s="2" t="str">
        <f>IFERROR(_xlfn.XLOOKUP(B37,Broker_Confirms!C:C,Broker_Confirms!H:H),"NOT FOUND")</f>
        <v>Settled</v>
      </c>
      <c r="I37" s="2" t="str">
        <f t="shared" si="0"/>
        <v>MATCH</v>
      </c>
      <c r="J37" s="2" t="str">
        <f t="shared" si="1"/>
        <v>MATCH</v>
      </c>
      <c r="K37" s="2" t="str">
        <f t="shared" si="2"/>
        <v>MATCH</v>
      </c>
      <c r="L37" s="20" t="str">
        <f t="shared" si="3"/>
        <v>OK</v>
      </c>
    </row>
    <row r="38" spans="1:12" x14ac:dyDescent="0.2">
      <c r="A38" t="str">
        <f>Internal_Trades!A38</f>
        <v>TR037</v>
      </c>
      <c r="B38" s="20" t="str">
        <f>Internal_Trades!C38</f>
        <v>LOW</v>
      </c>
      <c r="C38">
        <f>Internal_Trades!E38</f>
        <v>280</v>
      </c>
      <c r="D38">
        <f>Internal_Trades!F38</f>
        <v>248.9</v>
      </c>
      <c r="E38" s="2" t="str">
        <f>Internal_Trades!H38</f>
        <v>Settled</v>
      </c>
      <c r="F38" s="2">
        <f>IFERROR(_xlfn.XLOOKUP(B38,Broker_Confirms!C:C,Broker_Confirms!E:E),"NOT FOUND")</f>
        <v>280</v>
      </c>
      <c r="G38" s="2">
        <f>IFERROR(_xlfn.XLOOKUP(B38,Broker_Confirms!C:C,Broker_Confirms!F:F),"NOT FOUND")</f>
        <v>248.9</v>
      </c>
      <c r="H38" s="2" t="str">
        <f>IFERROR(_xlfn.XLOOKUP(B38,Broker_Confirms!C:C,Broker_Confirms!H:H),"NOT FOUND")</f>
        <v>Settled</v>
      </c>
      <c r="I38" s="2" t="str">
        <f t="shared" si="0"/>
        <v>MATCH</v>
      </c>
      <c r="J38" s="2" t="str">
        <f t="shared" si="1"/>
        <v>MATCH</v>
      </c>
      <c r="K38" s="2" t="str">
        <f t="shared" si="2"/>
        <v>MATCH</v>
      </c>
      <c r="L38" s="20" t="str">
        <f t="shared" si="3"/>
        <v>OK</v>
      </c>
    </row>
    <row r="39" spans="1:12" x14ac:dyDescent="0.2">
      <c r="A39" t="str">
        <f>Internal_Trades!A39</f>
        <v>TR038</v>
      </c>
      <c r="B39" s="20" t="str">
        <f>Internal_Trades!C39</f>
        <v>CAT</v>
      </c>
      <c r="C39">
        <f>Internal_Trades!E39</f>
        <v>320</v>
      </c>
      <c r="D39">
        <f>Internal_Trades!F39</f>
        <v>385.4</v>
      </c>
      <c r="E39" s="2" t="str">
        <f>Internal_Trades!H39</f>
        <v>Settled</v>
      </c>
      <c r="F39" s="2">
        <f>IFERROR(_xlfn.XLOOKUP(B39,Broker_Confirms!C:C,Broker_Confirms!E:E),"NOT FOUND")</f>
        <v>318</v>
      </c>
      <c r="G39" s="2">
        <f>IFERROR(_xlfn.XLOOKUP(B39,Broker_Confirms!C:C,Broker_Confirms!F:F),"NOT FOUND")</f>
        <v>385.4</v>
      </c>
      <c r="H39" s="2" t="str">
        <f>IFERROR(_xlfn.XLOOKUP(B39,Broker_Confirms!C:C,Broker_Confirms!H:H),"NOT FOUND")</f>
        <v>Settled</v>
      </c>
      <c r="I39" s="2" t="str">
        <f t="shared" si="0"/>
        <v>BREAK</v>
      </c>
      <c r="J39" s="2" t="str">
        <f t="shared" si="1"/>
        <v>MATCH</v>
      </c>
      <c r="K39" s="2" t="str">
        <f t="shared" si="2"/>
        <v>MATCH</v>
      </c>
      <c r="L39" s="20" t="str">
        <f t="shared" si="3"/>
        <v>QTY BREAK</v>
      </c>
    </row>
    <row r="40" spans="1:12" x14ac:dyDescent="0.2">
      <c r="A40" t="str">
        <f>Internal_Trades!A40</f>
        <v>TR039</v>
      </c>
      <c r="B40" s="20" t="str">
        <f>Internal_Trades!C40</f>
        <v>DE</v>
      </c>
      <c r="C40">
        <f>Internal_Trades!E40</f>
        <v>190</v>
      </c>
      <c r="D40">
        <f>Internal_Trades!F40</f>
        <v>412.8</v>
      </c>
      <c r="E40" s="2" t="str">
        <f>Internal_Trades!H40</f>
        <v>Settled</v>
      </c>
      <c r="F40" s="2">
        <f>IFERROR(_xlfn.XLOOKUP(B40,Broker_Confirms!C:C,Broker_Confirms!E:E),"NOT FOUND")</f>
        <v>190</v>
      </c>
      <c r="G40" s="2">
        <f>IFERROR(_xlfn.XLOOKUP(B40,Broker_Confirms!C:C,Broker_Confirms!F:F),"NOT FOUND")</f>
        <v>412.8</v>
      </c>
      <c r="H40" s="2" t="str">
        <f>IFERROR(_xlfn.XLOOKUP(B40,Broker_Confirms!C:C,Broker_Confirms!H:H),"NOT FOUND")</f>
        <v>Settled</v>
      </c>
      <c r="I40" s="2" t="str">
        <f t="shared" si="0"/>
        <v>MATCH</v>
      </c>
      <c r="J40" s="2" t="str">
        <f t="shared" si="1"/>
        <v>MATCH</v>
      </c>
      <c r="K40" s="2" t="str">
        <f t="shared" si="2"/>
        <v>MATCH</v>
      </c>
      <c r="L40" s="20" t="str">
        <f t="shared" si="3"/>
        <v>OK</v>
      </c>
    </row>
    <row r="41" spans="1:12" x14ac:dyDescent="0.2">
      <c r="A41" t="str">
        <f>Internal_Trades!A41</f>
        <v>TR040</v>
      </c>
      <c r="B41" s="20" t="str">
        <f>Internal_Trades!C41</f>
        <v>MMM</v>
      </c>
      <c r="C41">
        <f>Internal_Trades!E41</f>
        <v>400</v>
      </c>
      <c r="D41">
        <f>Internal_Trades!F41</f>
        <v>125.7</v>
      </c>
      <c r="E41" s="2" t="str">
        <f>Internal_Trades!H41</f>
        <v>Settled</v>
      </c>
      <c r="F41" s="2">
        <f>IFERROR(_xlfn.XLOOKUP(B41,Broker_Confirms!C:C,Broker_Confirms!E:E),"NOT FOUND")</f>
        <v>400</v>
      </c>
      <c r="G41" s="2">
        <f>IFERROR(_xlfn.XLOOKUP(B41,Broker_Confirms!C:C,Broker_Confirms!F:F),"NOT FOUND")</f>
        <v>125.7</v>
      </c>
      <c r="H41" s="2" t="str">
        <f>IFERROR(_xlfn.XLOOKUP(B41,Broker_Confirms!C:C,Broker_Confirms!H:H),"NOT FOUND")</f>
        <v>Settled</v>
      </c>
      <c r="I41" s="2" t="str">
        <f t="shared" si="0"/>
        <v>MATCH</v>
      </c>
      <c r="J41" s="2" t="str">
        <f t="shared" si="1"/>
        <v>MATCH</v>
      </c>
      <c r="K41" s="2" t="str">
        <f t="shared" si="2"/>
        <v>MATCH</v>
      </c>
      <c r="L41" s="20" t="str">
        <f t="shared" si="3"/>
        <v>OK</v>
      </c>
    </row>
    <row r="42" spans="1:12" x14ac:dyDescent="0.2">
      <c r="A42" t="str">
        <f>Internal_Trades!A42</f>
        <v>TR041</v>
      </c>
      <c r="B42" s="20" t="str">
        <f>Internal_Trades!C42</f>
        <v>HON</v>
      </c>
      <c r="C42">
        <f>Internal_Trades!E42</f>
        <v>350</v>
      </c>
      <c r="D42">
        <f>Internal_Trades!F42</f>
        <v>218.3</v>
      </c>
      <c r="E42" s="2" t="str">
        <f>Internal_Trades!H42</f>
        <v>Pending</v>
      </c>
      <c r="F42" s="2" t="str">
        <f>IFERROR(_xlfn.XLOOKUP(B42,Broker_Confirms!C:C,Broker_Confirms!E:E),"NOT FOUND")</f>
        <v>NOT FOUND</v>
      </c>
      <c r="G42" s="2" t="str">
        <f>IFERROR(_xlfn.XLOOKUP(B42,Broker_Confirms!C:C,Broker_Confirms!F:F),"NOT FOUND")</f>
        <v>NOT FOUND</v>
      </c>
      <c r="H42" s="2" t="str">
        <f>IFERROR(_xlfn.XLOOKUP(B42,Broker_Confirms!C:C,Broker_Confirms!H:H),"NOT FOUND")</f>
        <v>NOT FOUND</v>
      </c>
      <c r="I42" s="2" t="str">
        <f t="shared" si="0"/>
        <v>MISSING</v>
      </c>
      <c r="J42" s="2" t="str">
        <f t="shared" si="1"/>
        <v>MISSING</v>
      </c>
      <c r="K42" s="2" t="str">
        <f t="shared" si="2"/>
        <v>MISSING</v>
      </c>
      <c r="L42" s="20" t="str">
        <f t="shared" si="3"/>
        <v>MISSING TRADE</v>
      </c>
    </row>
    <row r="43" spans="1:12" x14ac:dyDescent="0.2">
      <c r="A43" t="str">
        <f>Internal_Trades!A43</f>
        <v>TR042</v>
      </c>
      <c r="B43" s="20" t="str">
        <f>Internal_Trades!C43</f>
        <v>RTX</v>
      </c>
      <c r="C43">
        <f>Internal_Trades!E43</f>
        <v>500</v>
      </c>
      <c r="D43">
        <f>Internal_Trades!F43</f>
        <v>108.9</v>
      </c>
      <c r="E43" s="2" t="str">
        <f>Internal_Trades!H43</f>
        <v>Settled</v>
      </c>
      <c r="F43" s="2">
        <f>IFERROR(_xlfn.XLOOKUP(B43,Broker_Confirms!C:C,Broker_Confirms!E:E),"NOT FOUND")</f>
        <v>500</v>
      </c>
      <c r="G43" s="2">
        <f>IFERROR(_xlfn.XLOOKUP(B43,Broker_Confirms!C:C,Broker_Confirms!F:F),"NOT FOUND")</f>
        <v>108.9</v>
      </c>
      <c r="H43" s="2" t="str">
        <f>IFERROR(_xlfn.XLOOKUP(B43,Broker_Confirms!C:C,Broker_Confirms!H:H),"NOT FOUND")</f>
        <v>Settled</v>
      </c>
      <c r="I43" s="2" t="str">
        <f t="shared" si="0"/>
        <v>MATCH</v>
      </c>
      <c r="J43" s="2" t="str">
        <f t="shared" si="1"/>
        <v>MATCH</v>
      </c>
      <c r="K43" s="2" t="str">
        <f t="shared" si="2"/>
        <v>MATCH</v>
      </c>
      <c r="L43" s="20" t="str">
        <f t="shared" si="3"/>
        <v>OK</v>
      </c>
    </row>
    <row r="44" spans="1:12" x14ac:dyDescent="0.2">
      <c r="A44" t="str">
        <f>Internal_Trades!A44</f>
        <v>TR043</v>
      </c>
      <c r="B44" s="20" t="str">
        <f>Internal_Trades!C44</f>
        <v>LMT</v>
      </c>
      <c r="C44">
        <f>Internal_Trades!E44</f>
        <v>150</v>
      </c>
      <c r="D44">
        <f>Internal_Trades!F44</f>
        <v>565.20000000000005</v>
      </c>
      <c r="E44" s="2" t="str">
        <f>Internal_Trades!H44</f>
        <v>Settled</v>
      </c>
      <c r="F44" s="2">
        <f>IFERROR(_xlfn.XLOOKUP(B44,Broker_Confirms!C:C,Broker_Confirms!E:E),"NOT FOUND")</f>
        <v>150</v>
      </c>
      <c r="G44" s="2">
        <f>IFERROR(_xlfn.XLOOKUP(B44,Broker_Confirms!C:C,Broker_Confirms!F:F),"NOT FOUND")</f>
        <v>565.20000000000005</v>
      </c>
      <c r="H44" s="2" t="str">
        <f>IFERROR(_xlfn.XLOOKUP(B44,Broker_Confirms!C:C,Broker_Confirms!H:H),"NOT FOUND")</f>
        <v>Settled</v>
      </c>
      <c r="I44" s="2" t="str">
        <f t="shared" si="0"/>
        <v>MATCH</v>
      </c>
      <c r="J44" s="2" t="str">
        <f t="shared" si="1"/>
        <v>MATCH</v>
      </c>
      <c r="K44" s="2" t="str">
        <f t="shared" si="2"/>
        <v>MATCH</v>
      </c>
      <c r="L44" s="20" t="str">
        <f t="shared" si="3"/>
        <v>OK</v>
      </c>
    </row>
    <row r="45" spans="1:12" x14ac:dyDescent="0.2">
      <c r="A45" t="str">
        <f>Internal_Trades!A45</f>
        <v>TR044</v>
      </c>
      <c r="B45" s="20" t="str">
        <f>Internal_Trades!C45</f>
        <v>GE</v>
      </c>
      <c r="C45">
        <f>Internal_Trades!E45</f>
        <v>800</v>
      </c>
      <c r="D45">
        <f>Internal_Trades!F45</f>
        <v>172.4</v>
      </c>
      <c r="E45" s="2" t="str">
        <f>Internal_Trades!H45</f>
        <v>Settled</v>
      </c>
      <c r="F45" s="2">
        <f>IFERROR(_xlfn.XLOOKUP(B45,Broker_Confirms!C:C,Broker_Confirms!E:E),"NOT FOUND")</f>
        <v>800</v>
      </c>
      <c r="G45" s="2">
        <f>IFERROR(_xlfn.XLOOKUP(B45,Broker_Confirms!C:C,Broker_Confirms!F:F),"NOT FOUND")</f>
        <v>172.45</v>
      </c>
      <c r="H45" s="2" t="str">
        <f>IFERROR(_xlfn.XLOOKUP(B45,Broker_Confirms!C:C,Broker_Confirms!H:H),"NOT FOUND")</f>
        <v>Settled</v>
      </c>
      <c r="I45" s="2" t="str">
        <f t="shared" si="0"/>
        <v>MATCH</v>
      </c>
      <c r="J45" s="2" t="str">
        <f t="shared" si="1"/>
        <v>BREAK</v>
      </c>
      <c r="K45" s="2" t="str">
        <f t="shared" si="2"/>
        <v>MATCH</v>
      </c>
      <c r="L45" s="20" t="str">
        <f t="shared" si="3"/>
        <v>PRICE BREAK</v>
      </c>
    </row>
    <row r="46" spans="1:12" x14ac:dyDescent="0.2">
      <c r="A46" t="str">
        <f>Internal_Trades!A46</f>
        <v>TR045</v>
      </c>
      <c r="B46" s="20" t="str">
        <f>Internal_Trades!C46</f>
        <v>F</v>
      </c>
      <c r="C46">
        <f>Internal_Trades!E46</f>
        <v>1200</v>
      </c>
      <c r="D46">
        <f>Internal_Trades!F46</f>
        <v>12.85</v>
      </c>
      <c r="E46" s="2" t="str">
        <f>Internal_Trades!H46</f>
        <v>Settled</v>
      </c>
      <c r="F46" s="2">
        <f>IFERROR(_xlfn.XLOOKUP(B46,Broker_Confirms!C:C,Broker_Confirms!E:E),"NOT FOUND")</f>
        <v>1200</v>
      </c>
      <c r="G46" s="2">
        <f>IFERROR(_xlfn.XLOOKUP(B46,Broker_Confirms!C:C,Broker_Confirms!F:F),"NOT FOUND")</f>
        <v>12.85</v>
      </c>
      <c r="H46" s="2" t="str">
        <f>IFERROR(_xlfn.XLOOKUP(B46,Broker_Confirms!C:C,Broker_Confirms!H:H),"NOT FOUND")</f>
        <v>Settled</v>
      </c>
      <c r="I46" s="2" t="str">
        <f t="shared" si="0"/>
        <v>MATCH</v>
      </c>
      <c r="J46" s="2" t="str">
        <f t="shared" si="1"/>
        <v>MATCH</v>
      </c>
      <c r="K46" s="2" t="str">
        <f t="shared" si="2"/>
        <v>MATCH</v>
      </c>
      <c r="L46" s="20" t="str">
        <f t="shared" si="3"/>
        <v>OK</v>
      </c>
    </row>
    <row r="47" spans="1:12" x14ac:dyDescent="0.2">
      <c r="A47" t="str">
        <f>Internal_Trades!A47</f>
        <v>TR046</v>
      </c>
      <c r="B47" s="20" t="str">
        <f>Internal_Trades!C47</f>
        <v>GM</v>
      </c>
      <c r="C47">
        <f>Internal_Trades!E47</f>
        <v>700</v>
      </c>
      <c r="D47">
        <f>Internal_Trades!F47</f>
        <v>45.6</v>
      </c>
      <c r="E47" s="2" t="str">
        <f>Internal_Trades!H47</f>
        <v>Settled</v>
      </c>
      <c r="F47" s="2">
        <f>IFERROR(_xlfn.XLOOKUP(B47,Broker_Confirms!C:C,Broker_Confirms!E:E),"NOT FOUND")</f>
        <v>700</v>
      </c>
      <c r="G47" s="2">
        <f>IFERROR(_xlfn.XLOOKUP(B47,Broker_Confirms!C:C,Broker_Confirms!F:F),"NOT FOUND")</f>
        <v>45.6</v>
      </c>
      <c r="H47" s="2" t="str">
        <f>IFERROR(_xlfn.XLOOKUP(B47,Broker_Confirms!C:C,Broker_Confirms!H:H),"NOT FOUND")</f>
        <v>Settled</v>
      </c>
      <c r="I47" s="2" t="str">
        <f t="shared" si="0"/>
        <v>MATCH</v>
      </c>
      <c r="J47" s="2" t="str">
        <f t="shared" si="1"/>
        <v>MATCH</v>
      </c>
      <c r="K47" s="2" t="str">
        <f t="shared" si="2"/>
        <v>MATCH</v>
      </c>
      <c r="L47" s="20" t="str">
        <f t="shared" si="3"/>
        <v>OK</v>
      </c>
    </row>
    <row r="48" spans="1:12" x14ac:dyDescent="0.2">
      <c r="A48" t="str">
        <f>Internal_Trades!A48</f>
        <v>TR047</v>
      </c>
      <c r="B48" s="20" t="str">
        <f>Internal_Trades!C48</f>
        <v>RIVN</v>
      </c>
      <c r="C48">
        <f>Internal_Trades!E48</f>
        <v>500</v>
      </c>
      <c r="D48">
        <f>Internal_Trades!F48</f>
        <v>18.25</v>
      </c>
      <c r="E48" s="2" t="str">
        <f>Internal_Trades!H48</f>
        <v>Settled</v>
      </c>
      <c r="F48" s="2">
        <f>IFERROR(_xlfn.XLOOKUP(B48,Broker_Confirms!C:C,Broker_Confirms!E:E),"NOT FOUND")</f>
        <v>500</v>
      </c>
      <c r="G48" s="2">
        <f>IFERROR(_xlfn.XLOOKUP(B48,Broker_Confirms!C:C,Broker_Confirms!F:F),"NOT FOUND")</f>
        <v>18.25</v>
      </c>
      <c r="H48" s="2" t="str">
        <f>IFERROR(_xlfn.XLOOKUP(B48,Broker_Confirms!C:C,Broker_Confirms!H:H),"NOT FOUND")</f>
        <v>Settled</v>
      </c>
      <c r="I48" s="2" t="str">
        <f t="shared" si="0"/>
        <v>MATCH</v>
      </c>
      <c r="J48" s="2" t="str">
        <f t="shared" si="1"/>
        <v>MATCH</v>
      </c>
      <c r="K48" s="2" t="str">
        <f t="shared" si="2"/>
        <v>MATCH</v>
      </c>
      <c r="L48" s="20" t="str">
        <f t="shared" si="3"/>
        <v>OK</v>
      </c>
    </row>
    <row r="49" spans="1:12" x14ac:dyDescent="0.2">
      <c r="A49" t="str">
        <f>Internal_Trades!A49</f>
        <v>TR048</v>
      </c>
      <c r="B49" s="20" t="str">
        <f>Internal_Trades!C49</f>
        <v>LCID</v>
      </c>
      <c r="C49">
        <f>Internal_Trades!E49</f>
        <v>900</v>
      </c>
      <c r="D49">
        <f>Internal_Trades!F49</f>
        <v>3.45</v>
      </c>
      <c r="E49" s="2" t="str">
        <f>Internal_Trades!H49</f>
        <v>Settled</v>
      </c>
      <c r="F49" s="2">
        <f>IFERROR(_xlfn.XLOOKUP(B49,Broker_Confirms!C:C,Broker_Confirms!E:E),"NOT FOUND")</f>
        <v>900</v>
      </c>
      <c r="G49" s="2">
        <f>IFERROR(_xlfn.XLOOKUP(B49,Broker_Confirms!C:C,Broker_Confirms!F:F),"NOT FOUND")</f>
        <v>3.45</v>
      </c>
      <c r="H49" s="2" t="str">
        <f>IFERROR(_xlfn.XLOOKUP(B49,Broker_Confirms!C:C,Broker_Confirms!H:H),"NOT FOUND")</f>
        <v>Settled</v>
      </c>
      <c r="I49" s="2" t="str">
        <f t="shared" si="0"/>
        <v>MATCH</v>
      </c>
      <c r="J49" s="2" t="str">
        <f t="shared" si="1"/>
        <v>MATCH</v>
      </c>
      <c r="K49" s="2" t="str">
        <f t="shared" si="2"/>
        <v>MATCH</v>
      </c>
      <c r="L49" s="20" t="str">
        <f t="shared" si="3"/>
        <v>OK</v>
      </c>
    </row>
    <row r="50" spans="1:12" x14ac:dyDescent="0.2">
      <c r="A50" t="str">
        <f>Internal_Trades!A50</f>
        <v>TR049</v>
      </c>
      <c r="B50" s="20" t="str">
        <f>Internal_Trades!C50</f>
        <v>NIO</v>
      </c>
      <c r="C50">
        <f>Internal_Trades!E50</f>
        <v>600</v>
      </c>
      <c r="D50">
        <f>Internal_Trades!F50</f>
        <v>7.8</v>
      </c>
      <c r="E50" s="2" t="str">
        <f>Internal_Trades!H50</f>
        <v>Settled</v>
      </c>
      <c r="F50" s="2">
        <f>IFERROR(_xlfn.XLOOKUP(B50,Broker_Confirms!C:C,Broker_Confirms!E:E),"NOT FOUND")</f>
        <v>595</v>
      </c>
      <c r="G50" s="2">
        <f>IFERROR(_xlfn.XLOOKUP(B50,Broker_Confirms!C:C,Broker_Confirms!F:F),"NOT FOUND")</f>
        <v>7.8</v>
      </c>
      <c r="H50" s="2" t="str">
        <f>IFERROR(_xlfn.XLOOKUP(B50,Broker_Confirms!C:C,Broker_Confirms!H:H),"NOT FOUND")</f>
        <v>Settled</v>
      </c>
      <c r="I50" s="2" t="str">
        <f t="shared" si="0"/>
        <v>BREAK</v>
      </c>
      <c r="J50" s="2" t="str">
        <f t="shared" si="1"/>
        <v>MATCH</v>
      </c>
      <c r="K50" s="2" t="str">
        <f t="shared" si="2"/>
        <v>MATCH</v>
      </c>
      <c r="L50" s="20" t="str">
        <f t="shared" si="3"/>
        <v>QTY BREAK</v>
      </c>
    </row>
    <row r="51" spans="1:12" x14ac:dyDescent="0.2">
      <c r="A51" t="str">
        <f>Internal_Trades!A51</f>
        <v>TR050</v>
      </c>
      <c r="B51" s="20" t="str">
        <f>Internal_Trades!C51</f>
        <v>XPEV</v>
      </c>
      <c r="C51">
        <f>Internal_Trades!E51</f>
        <v>550</v>
      </c>
      <c r="D51">
        <f>Internal_Trades!F51</f>
        <v>11.25</v>
      </c>
      <c r="E51" s="2" t="str">
        <f>Internal_Trades!H51</f>
        <v>Settled</v>
      </c>
      <c r="F51" s="2">
        <f>IFERROR(_xlfn.XLOOKUP(B51,Broker_Confirms!C:C,Broker_Confirms!E:E),"NOT FOUND")</f>
        <v>550</v>
      </c>
      <c r="G51" s="2">
        <f>IFERROR(_xlfn.XLOOKUP(B51,Broker_Confirms!C:C,Broker_Confirms!F:F),"NOT FOUND")</f>
        <v>11.25</v>
      </c>
      <c r="H51" s="2" t="str">
        <f>IFERROR(_xlfn.XLOOKUP(B51,Broker_Confirms!C:C,Broker_Confirms!H:H),"NOT FOUND")</f>
        <v>Settled</v>
      </c>
      <c r="I51" s="2" t="str">
        <f t="shared" si="0"/>
        <v>MATCH</v>
      </c>
      <c r="J51" s="2" t="str">
        <f t="shared" si="1"/>
        <v>MATCH</v>
      </c>
      <c r="K51" s="2" t="str">
        <f t="shared" si="2"/>
        <v>MATCH</v>
      </c>
      <c r="L51" s="20" t="str">
        <f t="shared" si="3"/>
        <v>OK</v>
      </c>
    </row>
    <row r="52" spans="1:12" x14ac:dyDescent="0.2">
      <c r="A52" t="str">
        <f>Internal_Trades!A52</f>
        <v>TR051</v>
      </c>
      <c r="B52" s="20" t="str">
        <f>Internal_Trades!C52</f>
        <v>BABA</v>
      </c>
      <c r="C52">
        <f>Internal_Trades!E52</f>
        <v>400</v>
      </c>
      <c r="D52">
        <f>Internal_Trades!F52</f>
        <v>88.5</v>
      </c>
      <c r="E52" s="2" t="str">
        <f>Internal_Trades!H52</f>
        <v>Settled</v>
      </c>
      <c r="F52" s="2">
        <f>IFERROR(_xlfn.XLOOKUP(B52,Broker_Confirms!C:C,Broker_Confirms!E:E),"NOT FOUND")</f>
        <v>400</v>
      </c>
      <c r="G52" s="2">
        <f>IFERROR(_xlfn.XLOOKUP(B52,Broker_Confirms!C:C,Broker_Confirms!F:F),"NOT FOUND")</f>
        <v>88.5</v>
      </c>
      <c r="H52" s="2" t="str">
        <f>IFERROR(_xlfn.XLOOKUP(B52,Broker_Confirms!C:C,Broker_Confirms!H:H),"NOT FOUND")</f>
        <v>Settled</v>
      </c>
      <c r="I52" s="2" t="str">
        <f t="shared" si="0"/>
        <v>MATCH</v>
      </c>
      <c r="J52" s="2" t="str">
        <f t="shared" si="1"/>
        <v>MATCH</v>
      </c>
      <c r="K52" s="2" t="str">
        <f t="shared" si="2"/>
        <v>MATCH</v>
      </c>
      <c r="L52" s="20" t="str">
        <f t="shared" si="3"/>
        <v>OK</v>
      </c>
    </row>
    <row r="53" spans="1:12" x14ac:dyDescent="0.2">
      <c r="A53" t="str">
        <f>Internal_Trades!A53</f>
        <v>TR052</v>
      </c>
      <c r="B53" s="20" t="str">
        <f>Internal_Trades!C53</f>
        <v>PDD</v>
      </c>
      <c r="C53">
        <f>Internal_Trades!E53</f>
        <v>350</v>
      </c>
      <c r="D53">
        <f>Internal_Trades!F53</f>
        <v>125.4</v>
      </c>
      <c r="E53" s="2" t="str">
        <f>Internal_Trades!H53</f>
        <v>Settled</v>
      </c>
      <c r="F53" s="2">
        <f>IFERROR(_xlfn.XLOOKUP(B53,Broker_Confirms!C:C,Broker_Confirms!E:E),"NOT FOUND")</f>
        <v>350</v>
      </c>
      <c r="G53" s="2">
        <f>IFERROR(_xlfn.XLOOKUP(B53,Broker_Confirms!C:C,Broker_Confirms!F:F),"NOT FOUND")</f>
        <v>125.4</v>
      </c>
      <c r="H53" s="2" t="str">
        <f>IFERROR(_xlfn.XLOOKUP(B53,Broker_Confirms!C:C,Broker_Confirms!H:H),"NOT FOUND")</f>
        <v>Settled</v>
      </c>
      <c r="I53" s="2" t="str">
        <f t="shared" si="0"/>
        <v>MATCH</v>
      </c>
      <c r="J53" s="2" t="str">
        <f t="shared" si="1"/>
        <v>MATCH</v>
      </c>
      <c r="K53" s="2" t="str">
        <f t="shared" si="2"/>
        <v>MATCH</v>
      </c>
      <c r="L53" s="20" t="str">
        <f t="shared" si="3"/>
        <v>OK</v>
      </c>
    </row>
    <row r="54" spans="1:12" x14ac:dyDescent="0.2">
      <c r="A54" t="str">
        <f>Internal_Trades!A54</f>
        <v>TR053</v>
      </c>
      <c r="B54" s="20" t="str">
        <f>Internal_Trades!C54</f>
        <v>JD</v>
      </c>
      <c r="C54">
        <f>Internal_Trades!E54</f>
        <v>600</v>
      </c>
      <c r="D54">
        <f>Internal_Trades!F54</f>
        <v>38.75</v>
      </c>
      <c r="E54" s="2" t="str">
        <f>Internal_Trades!H54</f>
        <v>Settled</v>
      </c>
      <c r="F54" s="2">
        <f>IFERROR(_xlfn.XLOOKUP(B54,Broker_Confirms!C:C,Broker_Confirms!E:E),"NOT FOUND")</f>
        <v>600</v>
      </c>
      <c r="G54" s="2">
        <f>IFERROR(_xlfn.XLOOKUP(B54,Broker_Confirms!C:C,Broker_Confirms!F:F),"NOT FOUND")</f>
        <v>38.75</v>
      </c>
      <c r="H54" s="2" t="str">
        <f>IFERROR(_xlfn.XLOOKUP(B54,Broker_Confirms!C:C,Broker_Confirms!H:H),"NOT FOUND")</f>
        <v>Settled</v>
      </c>
      <c r="I54" s="2" t="str">
        <f t="shared" si="0"/>
        <v>MATCH</v>
      </c>
      <c r="J54" s="2" t="str">
        <f t="shared" si="1"/>
        <v>MATCH</v>
      </c>
      <c r="K54" s="2" t="str">
        <f t="shared" si="2"/>
        <v>MATCH</v>
      </c>
      <c r="L54" s="20" t="str">
        <f t="shared" si="3"/>
        <v>OK</v>
      </c>
    </row>
    <row r="55" spans="1:12" x14ac:dyDescent="0.2">
      <c r="A55" t="str">
        <f>Internal_Trades!A55</f>
        <v>TR054</v>
      </c>
      <c r="B55" s="20" t="str">
        <f>Internal_Trades!C55</f>
        <v>TSM</v>
      </c>
      <c r="C55">
        <f>Internal_Trades!E55</f>
        <v>500</v>
      </c>
      <c r="D55">
        <f>Internal_Trades!F55</f>
        <v>165.8</v>
      </c>
      <c r="E55" s="2" t="str">
        <f>Internal_Trades!H55</f>
        <v>Settled</v>
      </c>
      <c r="F55" s="2">
        <f>IFERROR(_xlfn.XLOOKUP(B55,Broker_Confirms!C:C,Broker_Confirms!E:E),"NOT FOUND")</f>
        <v>500</v>
      </c>
      <c r="G55" s="2">
        <f>IFERROR(_xlfn.XLOOKUP(B55,Broker_Confirms!C:C,Broker_Confirms!F:F),"NOT FOUND")</f>
        <v>165.8</v>
      </c>
      <c r="H55" s="2" t="str">
        <f>IFERROR(_xlfn.XLOOKUP(B55,Broker_Confirms!C:C,Broker_Confirms!H:H),"NOT FOUND")</f>
        <v>Settled</v>
      </c>
      <c r="I55" s="2" t="str">
        <f t="shared" si="0"/>
        <v>MATCH</v>
      </c>
      <c r="J55" s="2" t="str">
        <f t="shared" si="1"/>
        <v>MATCH</v>
      </c>
      <c r="K55" s="2" t="str">
        <f t="shared" si="2"/>
        <v>MATCH</v>
      </c>
      <c r="L55" s="20" t="str">
        <f t="shared" si="3"/>
        <v>OK</v>
      </c>
    </row>
    <row r="56" spans="1:12" x14ac:dyDescent="0.2">
      <c r="A56" t="str">
        <f>Internal_Trades!A56</f>
        <v>TR055</v>
      </c>
      <c r="B56" s="20" t="str">
        <f>Internal_Trades!C56</f>
        <v>ASML</v>
      </c>
      <c r="C56">
        <f>Internal_Trades!E56</f>
        <v>100</v>
      </c>
      <c r="D56">
        <f>Internal_Trades!F56</f>
        <v>985.6</v>
      </c>
      <c r="E56" s="2" t="str">
        <f>Internal_Trades!H56</f>
        <v>Settled</v>
      </c>
      <c r="F56" s="2">
        <f>IFERROR(_xlfn.XLOOKUP(B56,Broker_Confirms!C:C,Broker_Confirms!E:E),"NOT FOUND")</f>
        <v>100</v>
      </c>
      <c r="G56" s="2">
        <f>IFERROR(_xlfn.XLOOKUP(B56,Broker_Confirms!C:C,Broker_Confirms!F:F),"NOT FOUND")</f>
        <v>985.6</v>
      </c>
      <c r="H56" s="2" t="str">
        <f>IFERROR(_xlfn.XLOOKUP(B56,Broker_Confirms!C:C,Broker_Confirms!H:H),"NOT FOUND")</f>
        <v>Settled</v>
      </c>
      <c r="I56" s="2" t="str">
        <f t="shared" si="0"/>
        <v>MATCH</v>
      </c>
      <c r="J56" s="2" t="str">
        <f t="shared" si="1"/>
        <v>MATCH</v>
      </c>
      <c r="K56" s="2" t="str">
        <f t="shared" si="2"/>
        <v>MATCH</v>
      </c>
      <c r="L56" s="20" t="str">
        <f t="shared" si="3"/>
        <v>OK</v>
      </c>
    </row>
    <row r="57" spans="1:12" x14ac:dyDescent="0.2">
      <c r="A57" t="str">
        <f>Internal_Trades!A57</f>
        <v>TR056</v>
      </c>
      <c r="B57" s="20" t="str">
        <f>Internal_Trades!C57</f>
        <v>SAP</v>
      </c>
      <c r="C57">
        <f>Internal_Trades!E57</f>
        <v>250</v>
      </c>
      <c r="D57">
        <f>Internal_Trades!F57</f>
        <v>198.3</v>
      </c>
      <c r="E57" s="2" t="str">
        <f>Internal_Trades!H57</f>
        <v>Settled</v>
      </c>
      <c r="F57" s="2">
        <f>IFERROR(_xlfn.XLOOKUP(B57,Broker_Confirms!C:C,Broker_Confirms!E:E),"NOT FOUND")</f>
        <v>250</v>
      </c>
      <c r="G57" s="2">
        <f>IFERROR(_xlfn.XLOOKUP(B57,Broker_Confirms!C:C,Broker_Confirms!F:F),"NOT FOUND")</f>
        <v>198.4</v>
      </c>
      <c r="H57" s="2" t="str">
        <f>IFERROR(_xlfn.XLOOKUP(B57,Broker_Confirms!C:C,Broker_Confirms!H:H),"NOT FOUND")</f>
        <v>Settled</v>
      </c>
      <c r="I57" s="2" t="str">
        <f t="shared" si="0"/>
        <v>MATCH</v>
      </c>
      <c r="J57" s="2" t="str">
        <f t="shared" si="1"/>
        <v>BREAK</v>
      </c>
      <c r="K57" s="2" t="str">
        <f t="shared" si="2"/>
        <v>MATCH</v>
      </c>
      <c r="L57" s="20" t="str">
        <f t="shared" si="3"/>
        <v>PRICE BREAK</v>
      </c>
    </row>
    <row r="58" spans="1:12" x14ac:dyDescent="0.2">
      <c r="A58" t="str">
        <f>Internal_Trades!A58</f>
        <v>TR057</v>
      </c>
      <c r="B58" s="20" t="str">
        <f>Internal_Trades!C58</f>
        <v>SHOP</v>
      </c>
      <c r="C58">
        <f>Internal_Trades!E58</f>
        <v>400</v>
      </c>
      <c r="D58">
        <f>Internal_Trades!F58</f>
        <v>75.900000000000006</v>
      </c>
      <c r="E58" s="2" t="str">
        <f>Internal_Trades!H58</f>
        <v>Settled</v>
      </c>
      <c r="F58" s="2">
        <f>IFERROR(_xlfn.XLOOKUP(B58,Broker_Confirms!C:C,Broker_Confirms!E:E),"NOT FOUND")</f>
        <v>400</v>
      </c>
      <c r="G58" s="2">
        <f>IFERROR(_xlfn.XLOOKUP(B58,Broker_Confirms!C:C,Broker_Confirms!F:F),"NOT FOUND")</f>
        <v>75.900000000000006</v>
      </c>
      <c r="H58" s="2" t="str">
        <f>IFERROR(_xlfn.XLOOKUP(B58,Broker_Confirms!C:C,Broker_Confirms!H:H),"NOT FOUND")</f>
        <v>Settled</v>
      </c>
      <c r="I58" s="2" t="str">
        <f t="shared" si="0"/>
        <v>MATCH</v>
      </c>
      <c r="J58" s="2" t="str">
        <f t="shared" si="1"/>
        <v>MATCH</v>
      </c>
      <c r="K58" s="2" t="str">
        <f t="shared" si="2"/>
        <v>MATCH</v>
      </c>
      <c r="L58" s="20" t="str">
        <f t="shared" si="3"/>
        <v>OK</v>
      </c>
    </row>
    <row r="59" spans="1:12" x14ac:dyDescent="0.2">
      <c r="A59" t="str">
        <f>Internal_Trades!A59</f>
        <v>TR058</v>
      </c>
      <c r="B59" s="20" t="str">
        <f>Internal_Trades!C59</f>
        <v>SQ</v>
      </c>
      <c r="C59">
        <f>Internal_Trades!E59</f>
        <v>800</v>
      </c>
      <c r="D59">
        <f>Internal_Trades!F59</f>
        <v>68.25</v>
      </c>
      <c r="E59" s="2" t="str">
        <f>Internal_Trades!H59</f>
        <v>Settled</v>
      </c>
      <c r="F59" s="2">
        <f>IFERROR(_xlfn.XLOOKUP(B59,Broker_Confirms!C:C,Broker_Confirms!E:E),"NOT FOUND")</f>
        <v>800</v>
      </c>
      <c r="G59" s="2">
        <f>IFERROR(_xlfn.XLOOKUP(B59,Broker_Confirms!C:C,Broker_Confirms!F:F),"NOT FOUND")</f>
        <v>68.25</v>
      </c>
      <c r="H59" s="2" t="str">
        <f>IFERROR(_xlfn.XLOOKUP(B59,Broker_Confirms!C:C,Broker_Confirms!H:H),"NOT FOUND")</f>
        <v>Settled</v>
      </c>
      <c r="I59" s="2" t="str">
        <f t="shared" si="0"/>
        <v>MATCH</v>
      </c>
      <c r="J59" s="2" t="str">
        <f t="shared" si="1"/>
        <v>MATCH</v>
      </c>
      <c r="K59" s="2" t="str">
        <f t="shared" si="2"/>
        <v>MATCH</v>
      </c>
      <c r="L59" s="20" t="str">
        <f t="shared" si="3"/>
        <v>OK</v>
      </c>
    </row>
    <row r="60" spans="1:12" x14ac:dyDescent="0.2">
      <c r="A60" t="str">
        <f>Internal_Trades!A60</f>
        <v>TR059</v>
      </c>
      <c r="B60" s="20" t="str">
        <f>Internal_Trades!C60</f>
        <v>COIN</v>
      </c>
      <c r="C60">
        <f>Internal_Trades!E60</f>
        <v>300</v>
      </c>
      <c r="D60">
        <f>Internal_Trades!F60</f>
        <v>245.7</v>
      </c>
      <c r="E60" s="2" t="str">
        <f>Internal_Trades!H60</f>
        <v>Settled</v>
      </c>
      <c r="F60" s="2">
        <f>IFERROR(_xlfn.XLOOKUP(B60,Broker_Confirms!C:C,Broker_Confirms!E:E),"NOT FOUND")</f>
        <v>300</v>
      </c>
      <c r="G60" s="2">
        <f>IFERROR(_xlfn.XLOOKUP(B60,Broker_Confirms!C:C,Broker_Confirms!F:F),"NOT FOUND")</f>
        <v>245.7</v>
      </c>
      <c r="H60" s="2" t="str">
        <f>IFERROR(_xlfn.XLOOKUP(B60,Broker_Confirms!C:C,Broker_Confirms!H:H),"NOT FOUND")</f>
        <v>Settled</v>
      </c>
      <c r="I60" s="2" t="str">
        <f t="shared" si="0"/>
        <v>MATCH</v>
      </c>
      <c r="J60" s="2" t="str">
        <f t="shared" si="1"/>
        <v>MATCH</v>
      </c>
      <c r="K60" s="2" t="str">
        <f t="shared" si="2"/>
        <v>MATCH</v>
      </c>
      <c r="L60" s="20" t="str">
        <f t="shared" si="3"/>
        <v>OK</v>
      </c>
    </row>
    <row r="61" spans="1:12" x14ac:dyDescent="0.2">
      <c r="A61" t="str">
        <f>Internal_Trades!A61</f>
        <v>TR060</v>
      </c>
      <c r="B61" s="20" t="str">
        <f>Internal_Trades!C61</f>
        <v>HOOD</v>
      </c>
      <c r="C61">
        <f>Internal_Trades!E61</f>
        <v>1000</v>
      </c>
      <c r="D61">
        <f>Internal_Trades!F61</f>
        <v>22.4</v>
      </c>
      <c r="E61" s="2" t="str">
        <f>Internal_Trades!H61</f>
        <v>Settled</v>
      </c>
      <c r="F61" s="2">
        <f>IFERROR(_xlfn.XLOOKUP(B61,Broker_Confirms!C:C,Broker_Confirms!E:E),"NOT FOUND")</f>
        <v>1000</v>
      </c>
      <c r="G61" s="2">
        <f>IFERROR(_xlfn.XLOOKUP(B61,Broker_Confirms!C:C,Broker_Confirms!F:F),"NOT FOUND")</f>
        <v>22.4</v>
      </c>
      <c r="H61" s="2" t="str">
        <f>IFERROR(_xlfn.XLOOKUP(B61,Broker_Confirms!C:C,Broker_Confirms!H:H),"NOT FOUND")</f>
        <v>Settled</v>
      </c>
      <c r="I61" s="2" t="str">
        <f t="shared" si="0"/>
        <v>MATCH</v>
      </c>
      <c r="J61" s="2" t="str">
        <f t="shared" si="1"/>
        <v>MATCH</v>
      </c>
      <c r="K61" s="2" t="str">
        <f t="shared" si="2"/>
        <v>MATCH</v>
      </c>
      <c r="L61" s="20" t="str">
        <f t="shared" si="3"/>
        <v>OK</v>
      </c>
    </row>
    <row r="62" spans="1:12" x14ac:dyDescent="0.2">
      <c r="A62" t="str">
        <f>Internal_Trades!A62</f>
        <v>TR061</v>
      </c>
      <c r="B62" s="20" t="str">
        <f>Internal_Trades!C62</f>
        <v>SNAP</v>
      </c>
      <c r="C62">
        <f>Internal_Trades!E62</f>
        <v>900</v>
      </c>
      <c r="D62">
        <f>Internal_Trades!F62</f>
        <v>12.85</v>
      </c>
      <c r="E62" s="2" t="str">
        <f>Internal_Trades!H62</f>
        <v>Pending</v>
      </c>
      <c r="F62" s="2" t="str">
        <f>IFERROR(_xlfn.XLOOKUP(B62,Broker_Confirms!C:C,Broker_Confirms!E:E),"NOT FOUND")</f>
        <v>NOT FOUND</v>
      </c>
      <c r="G62" s="2" t="str">
        <f>IFERROR(_xlfn.XLOOKUP(B62,Broker_Confirms!C:C,Broker_Confirms!F:F),"NOT FOUND")</f>
        <v>NOT FOUND</v>
      </c>
      <c r="H62" s="2" t="str">
        <f>IFERROR(_xlfn.XLOOKUP(B62,Broker_Confirms!C:C,Broker_Confirms!H:H),"NOT FOUND")</f>
        <v>NOT FOUND</v>
      </c>
      <c r="I62" s="2" t="str">
        <f t="shared" si="0"/>
        <v>MISSING</v>
      </c>
      <c r="J62" s="2" t="str">
        <f t="shared" si="1"/>
        <v>MISSING</v>
      </c>
      <c r="K62" s="2" t="str">
        <f t="shared" si="2"/>
        <v>MISSING</v>
      </c>
      <c r="L62" s="20" t="str">
        <f t="shared" si="3"/>
        <v>MISSING TRADE</v>
      </c>
    </row>
    <row r="63" spans="1:12" x14ac:dyDescent="0.2">
      <c r="A63" t="str">
        <f>Internal_Trades!A63</f>
        <v>TR062</v>
      </c>
      <c r="B63" s="20" t="str">
        <f>Internal_Trades!C63</f>
        <v>PINS</v>
      </c>
      <c r="C63">
        <f>Internal_Trades!E63</f>
        <v>500</v>
      </c>
      <c r="D63">
        <f>Internal_Trades!F63</f>
        <v>38.6</v>
      </c>
      <c r="E63" s="2" t="str">
        <f>Internal_Trades!H63</f>
        <v>Settled</v>
      </c>
      <c r="F63" s="2">
        <f>IFERROR(_xlfn.XLOOKUP(B63,Broker_Confirms!C:C,Broker_Confirms!E:E),"NOT FOUND")</f>
        <v>500</v>
      </c>
      <c r="G63" s="2">
        <f>IFERROR(_xlfn.XLOOKUP(B63,Broker_Confirms!C:C,Broker_Confirms!F:F),"NOT FOUND")</f>
        <v>38.6</v>
      </c>
      <c r="H63" s="2" t="str">
        <f>IFERROR(_xlfn.XLOOKUP(B63,Broker_Confirms!C:C,Broker_Confirms!H:H),"NOT FOUND")</f>
        <v>Settled</v>
      </c>
      <c r="I63" s="2" t="str">
        <f t="shared" si="0"/>
        <v>MATCH</v>
      </c>
      <c r="J63" s="2" t="str">
        <f t="shared" si="1"/>
        <v>MATCH</v>
      </c>
      <c r="K63" s="2" t="str">
        <f t="shared" si="2"/>
        <v>MATCH</v>
      </c>
      <c r="L63" s="20" t="str">
        <f t="shared" si="3"/>
        <v>OK</v>
      </c>
    </row>
    <row r="64" spans="1:12" x14ac:dyDescent="0.2">
      <c r="A64" t="str">
        <f>Internal_Trades!A64</f>
        <v>TR063</v>
      </c>
      <c r="B64" s="20" t="str">
        <f>Internal_Trades!C64</f>
        <v>TWTR</v>
      </c>
      <c r="C64">
        <f>Internal_Trades!E64</f>
        <v>450</v>
      </c>
      <c r="D64">
        <f>Internal_Trades!F64</f>
        <v>48.9</v>
      </c>
      <c r="E64" s="2" t="str">
        <f>Internal_Trades!H64</f>
        <v>Settled</v>
      </c>
      <c r="F64" s="2">
        <f>IFERROR(_xlfn.XLOOKUP(B64,Broker_Confirms!C:C,Broker_Confirms!E:E),"NOT FOUND")</f>
        <v>450</v>
      </c>
      <c r="G64" s="2">
        <f>IFERROR(_xlfn.XLOOKUP(B64,Broker_Confirms!C:C,Broker_Confirms!F:F),"NOT FOUND")</f>
        <v>48.9</v>
      </c>
      <c r="H64" s="2" t="str">
        <f>IFERROR(_xlfn.XLOOKUP(B64,Broker_Confirms!C:C,Broker_Confirms!H:H),"NOT FOUND")</f>
        <v>Settled</v>
      </c>
      <c r="I64" s="2" t="str">
        <f t="shared" si="0"/>
        <v>MATCH</v>
      </c>
      <c r="J64" s="2" t="str">
        <f t="shared" si="1"/>
        <v>MATCH</v>
      </c>
      <c r="K64" s="2" t="str">
        <f t="shared" si="2"/>
        <v>MATCH</v>
      </c>
      <c r="L64" s="20" t="str">
        <f t="shared" si="3"/>
        <v>OK</v>
      </c>
    </row>
    <row r="65" spans="1:12" x14ac:dyDescent="0.2">
      <c r="A65" t="str">
        <f>Internal_Trades!A65</f>
        <v>TR064</v>
      </c>
      <c r="B65" s="20" t="str">
        <f>Internal_Trades!C65</f>
        <v>SPOT</v>
      </c>
      <c r="C65">
        <f>Internal_Trades!E65</f>
        <v>200</v>
      </c>
      <c r="D65">
        <f>Internal_Trades!F65</f>
        <v>325.7</v>
      </c>
      <c r="E65" s="2" t="str">
        <f>Internal_Trades!H65</f>
        <v>Settled</v>
      </c>
      <c r="F65" s="2">
        <f>IFERROR(_xlfn.XLOOKUP(B65,Broker_Confirms!C:C,Broker_Confirms!E:E),"NOT FOUND")</f>
        <v>200</v>
      </c>
      <c r="G65" s="2">
        <f>IFERROR(_xlfn.XLOOKUP(B65,Broker_Confirms!C:C,Broker_Confirms!F:F),"NOT FOUND")</f>
        <v>325.7</v>
      </c>
      <c r="H65" s="2" t="str">
        <f>IFERROR(_xlfn.XLOOKUP(B65,Broker_Confirms!C:C,Broker_Confirms!H:H),"NOT FOUND")</f>
        <v>Settled</v>
      </c>
      <c r="I65" s="2" t="str">
        <f t="shared" si="0"/>
        <v>MATCH</v>
      </c>
      <c r="J65" s="2" t="str">
        <f t="shared" si="1"/>
        <v>MATCH</v>
      </c>
      <c r="K65" s="2" t="str">
        <f t="shared" si="2"/>
        <v>MATCH</v>
      </c>
      <c r="L65" s="20" t="str">
        <f t="shared" si="3"/>
        <v>OK</v>
      </c>
    </row>
    <row r="66" spans="1:12" x14ac:dyDescent="0.2">
      <c r="A66" t="str">
        <f>Internal_Trades!A66</f>
        <v>TR065</v>
      </c>
      <c r="B66" s="20" t="str">
        <f>Internal_Trades!C66</f>
        <v>RBLX</v>
      </c>
      <c r="C66">
        <f>Internal_Trades!E66</f>
        <v>600</v>
      </c>
      <c r="D66">
        <f>Internal_Trades!F66</f>
        <v>42.35</v>
      </c>
      <c r="E66" s="2" t="str">
        <f>Internal_Trades!H66</f>
        <v>Settled</v>
      </c>
      <c r="F66" s="2">
        <f>IFERROR(_xlfn.XLOOKUP(B66,Broker_Confirms!C:C,Broker_Confirms!E:E),"NOT FOUND")</f>
        <v>598</v>
      </c>
      <c r="G66" s="2">
        <f>IFERROR(_xlfn.XLOOKUP(B66,Broker_Confirms!C:C,Broker_Confirms!F:F),"NOT FOUND")</f>
        <v>42.35</v>
      </c>
      <c r="H66" s="2" t="str">
        <f>IFERROR(_xlfn.XLOOKUP(B66,Broker_Confirms!C:C,Broker_Confirms!H:H),"NOT FOUND")</f>
        <v>Settled</v>
      </c>
      <c r="I66" s="2" t="str">
        <f t="shared" si="0"/>
        <v>BREAK</v>
      </c>
      <c r="J66" s="2" t="str">
        <f t="shared" si="1"/>
        <v>MATCH</v>
      </c>
      <c r="K66" s="2" t="str">
        <f t="shared" si="2"/>
        <v>MATCH</v>
      </c>
      <c r="L66" s="20" t="str">
        <f t="shared" si="3"/>
        <v>QTY BREAK</v>
      </c>
    </row>
    <row r="67" spans="1:12" x14ac:dyDescent="0.2">
      <c r="A67" t="str">
        <f>Internal_Trades!A67</f>
        <v>TR066</v>
      </c>
      <c r="B67" s="20" t="str">
        <f>Internal_Trades!C67</f>
        <v>U</v>
      </c>
      <c r="C67">
        <f>Internal_Trades!E67</f>
        <v>350</v>
      </c>
      <c r="D67">
        <f>Internal_Trades!F67</f>
        <v>28.8</v>
      </c>
      <c r="E67" s="2" t="str">
        <f>Internal_Trades!H67</f>
        <v>Settled</v>
      </c>
      <c r="F67" s="2">
        <f>IFERROR(_xlfn.XLOOKUP(B67,Broker_Confirms!C:C,Broker_Confirms!E:E),"NOT FOUND")</f>
        <v>350</v>
      </c>
      <c r="G67" s="2">
        <f>IFERROR(_xlfn.XLOOKUP(B67,Broker_Confirms!C:C,Broker_Confirms!F:F),"NOT FOUND")</f>
        <v>28.8</v>
      </c>
      <c r="H67" s="2" t="str">
        <f>IFERROR(_xlfn.XLOOKUP(B67,Broker_Confirms!C:C,Broker_Confirms!H:H),"NOT FOUND")</f>
        <v>Settled</v>
      </c>
      <c r="I67" s="2" t="str">
        <f t="shared" ref="I67:I101" si="4">IF(F67="NOT FOUND","MISSING",IF(C67=F67,"MATCH","BREAK"))</f>
        <v>MATCH</v>
      </c>
      <c r="J67" s="2" t="str">
        <f t="shared" ref="J67:J101" si="5">IF(G67="NOT FOUND","MISSING",IF(D67=G67,"MATCH","BREAK"))</f>
        <v>MATCH</v>
      </c>
      <c r="K67" s="2" t="str">
        <f t="shared" ref="K67:K101" si="6">IF(H67="NOT FOUND","MISSING",IF(E67=H67,"MATCH","BREAK"))</f>
        <v>MATCH</v>
      </c>
      <c r="L67" s="20" t="str">
        <f t="shared" ref="L67:L101" si="7">IF(AND(I67="MATCH",J67="MATCH",K67="MATCH"),"OK",IF(OR(I67="MISSING",J67="MISSING",K67="MISSING"),"MISSING TRADE",IF(AND(I67="BREAK",J67="MATCH",K67="MATCH"),"QTY BREAK",IF(AND(I67="MATCH",J67="BREAK",K67="MATCH"),"PRICE BREAK",IF(AND(I67="MATCH",J67="MATCH",K67="BREAK"),"STATUS BREAK","MULTIPLE BREAKS")))))</f>
        <v>OK</v>
      </c>
    </row>
    <row r="68" spans="1:12" x14ac:dyDescent="0.2">
      <c r="A68" t="str">
        <f>Internal_Trades!A68</f>
        <v>TR067</v>
      </c>
      <c r="B68" s="20" t="str">
        <f>Internal_Trades!C68</f>
        <v>DKNG</v>
      </c>
      <c r="C68">
        <f>Internal_Trades!E68</f>
        <v>700</v>
      </c>
      <c r="D68">
        <f>Internal_Trades!F68</f>
        <v>38.450000000000003</v>
      </c>
      <c r="E68" s="2" t="str">
        <f>Internal_Trades!H68</f>
        <v>Settled</v>
      </c>
      <c r="F68" s="2">
        <f>IFERROR(_xlfn.XLOOKUP(B68,Broker_Confirms!C:C,Broker_Confirms!E:E),"NOT FOUND")</f>
        <v>700</v>
      </c>
      <c r="G68" s="2">
        <f>IFERROR(_xlfn.XLOOKUP(B68,Broker_Confirms!C:C,Broker_Confirms!F:F),"NOT FOUND")</f>
        <v>38.450000000000003</v>
      </c>
      <c r="H68" s="2" t="str">
        <f>IFERROR(_xlfn.XLOOKUP(B68,Broker_Confirms!C:C,Broker_Confirms!H:H),"NOT FOUND")</f>
        <v>Settled</v>
      </c>
      <c r="I68" s="2" t="str">
        <f t="shared" si="4"/>
        <v>MATCH</v>
      </c>
      <c r="J68" s="2" t="str">
        <f t="shared" si="5"/>
        <v>MATCH</v>
      </c>
      <c r="K68" s="2" t="str">
        <f t="shared" si="6"/>
        <v>MATCH</v>
      </c>
      <c r="L68" s="20" t="str">
        <f t="shared" si="7"/>
        <v>OK</v>
      </c>
    </row>
    <row r="69" spans="1:12" x14ac:dyDescent="0.2">
      <c r="A69" t="str">
        <f>Internal_Trades!A69</f>
        <v>TR068</v>
      </c>
      <c r="B69" s="20" t="str">
        <f>Internal_Trades!C69</f>
        <v>PENN</v>
      </c>
      <c r="C69">
        <f>Internal_Trades!E69</f>
        <v>400</v>
      </c>
      <c r="D69">
        <f>Internal_Trades!F69</f>
        <v>22.6</v>
      </c>
      <c r="E69" s="2" t="str">
        <f>Internal_Trades!H69</f>
        <v>Settled</v>
      </c>
      <c r="F69" s="2">
        <f>IFERROR(_xlfn.XLOOKUP(B69,Broker_Confirms!C:C,Broker_Confirms!E:E),"NOT FOUND")</f>
        <v>400</v>
      </c>
      <c r="G69" s="2">
        <f>IFERROR(_xlfn.XLOOKUP(B69,Broker_Confirms!C:C,Broker_Confirms!F:F),"NOT FOUND")</f>
        <v>22.6</v>
      </c>
      <c r="H69" s="2" t="str">
        <f>IFERROR(_xlfn.XLOOKUP(B69,Broker_Confirms!C:C,Broker_Confirms!H:H),"NOT FOUND")</f>
        <v>Settled</v>
      </c>
      <c r="I69" s="2" t="str">
        <f t="shared" si="4"/>
        <v>MATCH</v>
      </c>
      <c r="J69" s="2" t="str">
        <f t="shared" si="5"/>
        <v>MATCH</v>
      </c>
      <c r="K69" s="2" t="str">
        <f t="shared" si="6"/>
        <v>MATCH</v>
      </c>
      <c r="L69" s="20" t="str">
        <f t="shared" si="7"/>
        <v>OK</v>
      </c>
    </row>
    <row r="70" spans="1:12" x14ac:dyDescent="0.2">
      <c r="A70" t="str">
        <f>Internal_Trades!A70</f>
        <v>TR069</v>
      </c>
      <c r="B70" s="20" t="str">
        <f>Internal_Trades!C70</f>
        <v>MGM</v>
      </c>
      <c r="C70">
        <f>Internal_Trades!E70</f>
        <v>550</v>
      </c>
      <c r="D70">
        <f>Internal_Trades!F70</f>
        <v>45.75</v>
      </c>
      <c r="E70" s="2" t="str">
        <f>Internal_Trades!H70</f>
        <v>Settled</v>
      </c>
      <c r="F70" s="2">
        <f>IFERROR(_xlfn.XLOOKUP(B70,Broker_Confirms!C:C,Broker_Confirms!E:E),"NOT FOUND")</f>
        <v>550</v>
      </c>
      <c r="G70" s="2">
        <f>IFERROR(_xlfn.XLOOKUP(B70,Broker_Confirms!C:C,Broker_Confirms!F:F),"NOT FOUND")</f>
        <v>45.75</v>
      </c>
      <c r="H70" s="2" t="str">
        <f>IFERROR(_xlfn.XLOOKUP(B70,Broker_Confirms!C:C,Broker_Confirms!H:H),"NOT FOUND")</f>
        <v>Settled</v>
      </c>
      <c r="I70" s="2" t="str">
        <f t="shared" si="4"/>
        <v>MATCH</v>
      </c>
      <c r="J70" s="2" t="str">
        <f t="shared" si="5"/>
        <v>MATCH</v>
      </c>
      <c r="K70" s="2" t="str">
        <f t="shared" si="6"/>
        <v>MATCH</v>
      </c>
      <c r="L70" s="20" t="str">
        <f t="shared" si="7"/>
        <v>OK</v>
      </c>
    </row>
    <row r="71" spans="1:12" x14ac:dyDescent="0.2">
      <c r="A71" t="str">
        <f>Internal_Trades!A71</f>
        <v>TR070</v>
      </c>
      <c r="B71" s="20" t="str">
        <f>Internal_Trades!C71</f>
        <v>WYNN</v>
      </c>
      <c r="C71">
        <f>Internal_Trades!E71</f>
        <v>250</v>
      </c>
      <c r="D71">
        <f>Internal_Trades!F71</f>
        <v>98.4</v>
      </c>
      <c r="E71" s="2" t="str">
        <f>Internal_Trades!H71</f>
        <v>Settled</v>
      </c>
      <c r="F71" s="2">
        <f>IFERROR(_xlfn.XLOOKUP(B71,Broker_Confirms!C:C,Broker_Confirms!E:E),"NOT FOUND")</f>
        <v>250</v>
      </c>
      <c r="G71" s="2">
        <f>IFERROR(_xlfn.XLOOKUP(B71,Broker_Confirms!C:C,Broker_Confirms!F:F),"NOT FOUND")</f>
        <v>98.4</v>
      </c>
      <c r="H71" s="2" t="str">
        <f>IFERROR(_xlfn.XLOOKUP(B71,Broker_Confirms!C:C,Broker_Confirms!H:H),"NOT FOUND")</f>
        <v>Settled</v>
      </c>
      <c r="I71" s="2" t="str">
        <f t="shared" si="4"/>
        <v>MATCH</v>
      </c>
      <c r="J71" s="2" t="str">
        <f t="shared" si="5"/>
        <v>MATCH</v>
      </c>
      <c r="K71" s="2" t="str">
        <f t="shared" si="6"/>
        <v>MATCH</v>
      </c>
      <c r="L71" s="20" t="str">
        <f t="shared" si="7"/>
        <v>OK</v>
      </c>
    </row>
    <row r="72" spans="1:12" x14ac:dyDescent="0.2">
      <c r="A72" t="str">
        <f>Internal_Trades!A72</f>
        <v>TR071</v>
      </c>
      <c r="B72" s="20" t="str">
        <f>Internal_Trades!C72</f>
        <v>MAR</v>
      </c>
      <c r="C72">
        <f>Internal_Trades!E72</f>
        <v>300</v>
      </c>
      <c r="D72">
        <f>Internal_Trades!F72</f>
        <v>245.8</v>
      </c>
      <c r="E72" s="2" t="str">
        <f>Internal_Trades!H72</f>
        <v>Settled</v>
      </c>
      <c r="F72" s="2">
        <f>IFERROR(_xlfn.XLOOKUP(B72,Broker_Confirms!C:C,Broker_Confirms!E:E),"NOT FOUND")</f>
        <v>300</v>
      </c>
      <c r="G72" s="2">
        <f>IFERROR(_xlfn.XLOOKUP(B72,Broker_Confirms!C:C,Broker_Confirms!F:F),"NOT FOUND")</f>
        <v>245.8</v>
      </c>
      <c r="H72" s="2" t="str">
        <f>IFERROR(_xlfn.XLOOKUP(B72,Broker_Confirms!C:C,Broker_Confirms!H:H),"NOT FOUND")</f>
        <v>Settled</v>
      </c>
      <c r="I72" s="2" t="str">
        <f t="shared" si="4"/>
        <v>MATCH</v>
      </c>
      <c r="J72" s="2" t="str">
        <f t="shared" si="5"/>
        <v>MATCH</v>
      </c>
      <c r="K72" s="2" t="str">
        <f t="shared" si="6"/>
        <v>MATCH</v>
      </c>
      <c r="L72" s="20" t="str">
        <f t="shared" si="7"/>
        <v>OK</v>
      </c>
    </row>
    <row r="73" spans="1:12" x14ac:dyDescent="0.2">
      <c r="A73" t="str">
        <f>Internal_Trades!A73</f>
        <v>TR072</v>
      </c>
      <c r="B73" s="20" t="str">
        <f>Internal_Trades!C73</f>
        <v>HLT</v>
      </c>
      <c r="C73">
        <f>Internal_Trades!E73</f>
        <v>400</v>
      </c>
      <c r="D73">
        <f>Internal_Trades!F73</f>
        <v>218.5</v>
      </c>
      <c r="E73" s="2" t="str">
        <f>Internal_Trades!H73</f>
        <v>Settled</v>
      </c>
      <c r="F73" s="2">
        <f>IFERROR(_xlfn.XLOOKUP(B73,Broker_Confirms!C:C,Broker_Confirms!E:E),"NOT FOUND")</f>
        <v>400</v>
      </c>
      <c r="G73" s="2">
        <f>IFERROR(_xlfn.XLOOKUP(B73,Broker_Confirms!C:C,Broker_Confirms!F:F),"NOT FOUND")</f>
        <v>218.5</v>
      </c>
      <c r="H73" s="2" t="str">
        <f>IFERROR(_xlfn.XLOOKUP(B73,Broker_Confirms!C:C,Broker_Confirms!H:H),"NOT FOUND")</f>
        <v>Settled</v>
      </c>
      <c r="I73" s="2" t="str">
        <f t="shared" si="4"/>
        <v>MATCH</v>
      </c>
      <c r="J73" s="2" t="str">
        <f t="shared" si="5"/>
        <v>MATCH</v>
      </c>
      <c r="K73" s="2" t="str">
        <f t="shared" si="6"/>
        <v>MATCH</v>
      </c>
      <c r="L73" s="20" t="str">
        <f t="shared" si="7"/>
        <v>OK</v>
      </c>
    </row>
    <row r="74" spans="1:12" x14ac:dyDescent="0.2">
      <c r="A74" t="str">
        <f>Internal_Trades!A74</f>
        <v>TR073</v>
      </c>
      <c r="B74" s="20" t="str">
        <f>Internal_Trades!C74</f>
        <v>IHG</v>
      </c>
      <c r="C74">
        <f>Internal_Trades!E74</f>
        <v>200</v>
      </c>
      <c r="D74">
        <f>Internal_Trades!F74</f>
        <v>108.9</v>
      </c>
      <c r="E74" s="2" t="str">
        <f>Internal_Trades!H74</f>
        <v>Settled</v>
      </c>
      <c r="F74" s="2">
        <f>IFERROR(_xlfn.XLOOKUP(B74,Broker_Confirms!C:C,Broker_Confirms!E:E),"NOT FOUND")</f>
        <v>200</v>
      </c>
      <c r="G74" s="2">
        <f>IFERROR(_xlfn.XLOOKUP(B74,Broker_Confirms!C:C,Broker_Confirms!F:F),"NOT FOUND")</f>
        <v>108.9</v>
      </c>
      <c r="H74" s="2" t="str">
        <f>IFERROR(_xlfn.XLOOKUP(B74,Broker_Confirms!C:C,Broker_Confirms!H:H),"NOT FOUND")</f>
        <v>Settled</v>
      </c>
      <c r="I74" s="2" t="str">
        <f t="shared" si="4"/>
        <v>MATCH</v>
      </c>
      <c r="J74" s="2" t="str">
        <f t="shared" si="5"/>
        <v>MATCH</v>
      </c>
      <c r="K74" s="2" t="str">
        <f t="shared" si="6"/>
        <v>MATCH</v>
      </c>
      <c r="L74" s="20" t="str">
        <f t="shared" si="7"/>
        <v>OK</v>
      </c>
    </row>
    <row r="75" spans="1:12" x14ac:dyDescent="0.2">
      <c r="A75" t="str">
        <f>Internal_Trades!A75</f>
        <v>TR074</v>
      </c>
      <c r="B75" s="20" t="str">
        <f>Internal_Trades!C75</f>
        <v>ABNB</v>
      </c>
      <c r="C75">
        <f>Internal_Trades!E75</f>
        <v>500</v>
      </c>
      <c r="D75">
        <f>Internal_Trades!F75</f>
        <v>142.6</v>
      </c>
      <c r="E75" s="2" t="str">
        <f>Internal_Trades!H75</f>
        <v>Settled</v>
      </c>
      <c r="F75" s="2">
        <f>IFERROR(_xlfn.XLOOKUP(B75,Broker_Confirms!C:C,Broker_Confirms!E:E),"NOT FOUND")</f>
        <v>500</v>
      </c>
      <c r="G75" s="2">
        <f>IFERROR(_xlfn.XLOOKUP(B75,Broker_Confirms!C:C,Broker_Confirms!F:F),"NOT FOUND")</f>
        <v>142.6</v>
      </c>
      <c r="H75" s="2" t="str">
        <f>IFERROR(_xlfn.XLOOKUP(B75,Broker_Confirms!C:C,Broker_Confirms!H:H),"NOT FOUND")</f>
        <v>Settled</v>
      </c>
      <c r="I75" s="2" t="str">
        <f t="shared" si="4"/>
        <v>MATCH</v>
      </c>
      <c r="J75" s="2" t="str">
        <f t="shared" si="5"/>
        <v>MATCH</v>
      </c>
      <c r="K75" s="2" t="str">
        <f t="shared" si="6"/>
        <v>MATCH</v>
      </c>
      <c r="L75" s="20" t="str">
        <f t="shared" si="7"/>
        <v>OK</v>
      </c>
    </row>
    <row r="76" spans="1:12" x14ac:dyDescent="0.2">
      <c r="A76" t="str">
        <f>Internal_Trades!A76</f>
        <v>TR075</v>
      </c>
      <c r="B76" s="20" t="str">
        <f>Internal_Trades!C76</f>
        <v>BKNG</v>
      </c>
      <c r="C76">
        <f>Internal_Trades!E76</f>
        <v>75</v>
      </c>
      <c r="D76">
        <f>Internal_Trades!F76</f>
        <v>3850</v>
      </c>
      <c r="E76" s="2" t="str">
        <f>Internal_Trades!H76</f>
        <v>Settled</v>
      </c>
      <c r="F76" s="2">
        <f>IFERROR(_xlfn.XLOOKUP(B76,Broker_Confirms!C:C,Broker_Confirms!E:E),"NOT FOUND")</f>
        <v>75</v>
      </c>
      <c r="G76" s="2">
        <f>IFERROR(_xlfn.XLOOKUP(B76,Broker_Confirms!C:C,Broker_Confirms!F:F),"NOT FOUND")</f>
        <v>3850</v>
      </c>
      <c r="H76" s="2" t="str">
        <f>IFERROR(_xlfn.XLOOKUP(B76,Broker_Confirms!C:C,Broker_Confirms!H:H),"NOT FOUND")</f>
        <v>Settled</v>
      </c>
      <c r="I76" s="2" t="str">
        <f t="shared" si="4"/>
        <v>MATCH</v>
      </c>
      <c r="J76" s="2" t="str">
        <f t="shared" si="5"/>
        <v>MATCH</v>
      </c>
      <c r="K76" s="2" t="str">
        <f t="shared" si="6"/>
        <v>MATCH</v>
      </c>
      <c r="L76" s="20" t="str">
        <f t="shared" si="7"/>
        <v>OK</v>
      </c>
    </row>
    <row r="77" spans="1:12" x14ac:dyDescent="0.2">
      <c r="A77" t="str">
        <f>Internal_Trades!A77</f>
        <v>TR076</v>
      </c>
      <c r="B77" s="20" t="str">
        <f>Internal_Trades!C77</f>
        <v>EXPE</v>
      </c>
      <c r="C77">
        <f>Internal_Trades!E77</f>
        <v>350</v>
      </c>
      <c r="D77">
        <f>Internal_Trades!F77</f>
        <v>142.30000000000001</v>
      </c>
      <c r="E77" s="2" t="str">
        <f>Internal_Trades!H77</f>
        <v>Settled</v>
      </c>
      <c r="F77" s="2">
        <f>IFERROR(_xlfn.XLOOKUP(B77,Broker_Confirms!C:C,Broker_Confirms!E:E),"NOT FOUND")</f>
        <v>350</v>
      </c>
      <c r="G77" s="2">
        <f>IFERROR(_xlfn.XLOOKUP(B77,Broker_Confirms!C:C,Broker_Confirms!F:F),"NOT FOUND")</f>
        <v>142.30000000000001</v>
      </c>
      <c r="H77" s="2" t="str">
        <f>IFERROR(_xlfn.XLOOKUP(B77,Broker_Confirms!C:C,Broker_Confirms!H:H),"NOT FOUND")</f>
        <v>Settled</v>
      </c>
      <c r="I77" s="2" t="str">
        <f t="shared" si="4"/>
        <v>MATCH</v>
      </c>
      <c r="J77" s="2" t="str">
        <f t="shared" si="5"/>
        <v>MATCH</v>
      </c>
      <c r="K77" s="2" t="str">
        <f t="shared" si="6"/>
        <v>MATCH</v>
      </c>
      <c r="L77" s="20" t="str">
        <f t="shared" si="7"/>
        <v>OK</v>
      </c>
    </row>
    <row r="78" spans="1:12" x14ac:dyDescent="0.2">
      <c r="A78" t="str">
        <f>Internal_Trades!A78</f>
        <v>TR077</v>
      </c>
      <c r="B78" s="20" t="str">
        <f>Internal_Trades!C78</f>
        <v>TRIP</v>
      </c>
      <c r="C78">
        <f>Internal_Trades!E78</f>
        <v>800</v>
      </c>
      <c r="D78">
        <f>Internal_Trades!F78</f>
        <v>22.75</v>
      </c>
      <c r="E78" s="2" t="str">
        <f>Internal_Trades!H78</f>
        <v>Settled</v>
      </c>
      <c r="F78" s="2">
        <f>IFERROR(_xlfn.XLOOKUP(B78,Broker_Confirms!C:C,Broker_Confirms!E:E),"NOT FOUND")</f>
        <v>797</v>
      </c>
      <c r="G78" s="2">
        <f>IFERROR(_xlfn.XLOOKUP(B78,Broker_Confirms!C:C,Broker_Confirms!F:F),"NOT FOUND")</f>
        <v>22.75</v>
      </c>
      <c r="H78" s="2" t="str">
        <f>IFERROR(_xlfn.XLOOKUP(B78,Broker_Confirms!C:C,Broker_Confirms!H:H),"NOT FOUND")</f>
        <v>Settled</v>
      </c>
      <c r="I78" s="2" t="str">
        <f t="shared" si="4"/>
        <v>BREAK</v>
      </c>
      <c r="J78" s="2" t="str">
        <f t="shared" si="5"/>
        <v>MATCH</v>
      </c>
      <c r="K78" s="2" t="str">
        <f t="shared" si="6"/>
        <v>MATCH</v>
      </c>
      <c r="L78" s="20" t="str">
        <f t="shared" si="7"/>
        <v>QTY BREAK</v>
      </c>
    </row>
    <row r="79" spans="1:12" x14ac:dyDescent="0.2">
      <c r="A79" t="str">
        <f>Internal_Trades!A79</f>
        <v>TR078</v>
      </c>
      <c r="B79" s="20" t="str">
        <f>Internal_Trades!C79</f>
        <v>AAL</v>
      </c>
      <c r="C79">
        <f>Internal_Trades!E79</f>
        <v>900</v>
      </c>
      <c r="D79">
        <f>Internal_Trades!F79</f>
        <v>15.4</v>
      </c>
      <c r="E79" s="2" t="str">
        <f>Internal_Trades!H79</f>
        <v>Settled</v>
      </c>
      <c r="F79" s="2">
        <f>IFERROR(_xlfn.XLOOKUP(B79,Broker_Confirms!C:C,Broker_Confirms!E:E),"NOT FOUND")</f>
        <v>900</v>
      </c>
      <c r="G79" s="2">
        <f>IFERROR(_xlfn.XLOOKUP(B79,Broker_Confirms!C:C,Broker_Confirms!F:F),"NOT FOUND")</f>
        <v>15.4</v>
      </c>
      <c r="H79" s="2" t="str">
        <f>IFERROR(_xlfn.XLOOKUP(B79,Broker_Confirms!C:C,Broker_Confirms!H:H),"NOT FOUND")</f>
        <v>Settled</v>
      </c>
      <c r="I79" s="2" t="str">
        <f t="shared" si="4"/>
        <v>MATCH</v>
      </c>
      <c r="J79" s="2" t="str">
        <f t="shared" si="5"/>
        <v>MATCH</v>
      </c>
      <c r="K79" s="2" t="str">
        <f t="shared" si="6"/>
        <v>MATCH</v>
      </c>
      <c r="L79" s="20" t="str">
        <f t="shared" si="7"/>
        <v>OK</v>
      </c>
    </row>
    <row r="80" spans="1:12" x14ac:dyDescent="0.2">
      <c r="A80" t="str">
        <f>Internal_Trades!A80</f>
        <v>TR079</v>
      </c>
      <c r="B80" s="20" t="str">
        <f>Internal_Trades!C80</f>
        <v>DAL</v>
      </c>
      <c r="C80">
        <f>Internal_Trades!E80</f>
        <v>700</v>
      </c>
      <c r="D80">
        <f>Internal_Trades!F80</f>
        <v>48.85</v>
      </c>
      <c r="E80" s="2" t="str">
        <f>Internal_Trades!H80</f>
        <v>Settled</v>
      </c>
      <c r="F80" s="2">
        <f>IFERROR(_xlfn.XLOOKUP(B80,Broker_Confirms!C:C,Broker_Confirms!E:E),"NOT FOUND")</f>
        <v>700</v>
      </c>
      <c r="G80" s="2">
        <f>IFERROR(_xlfn.XLOOKUP(B80,Broker_Confirms!C:C,Broker_Confirms!F:F),"NOT FOUND")</f>
        <v>48.85</v>
      </c>
      <c r="H80" s="2" t="str">
        <f>IFERROR(_xlfn.XLOOKUP(B80,Broker_Confirms!C:C,Broker_Confirms!H:H),"NOT FOUND")</f>
        <v>Settled</v>
      </c>
      <c r="I80" s="2" t="str">
        <f t="shared" si="4"/>
        <v>MATCH</v>
      </c>
      <c r="J80" s="2" t="str">
        <f t="shared" si="5"/>
        <v>MATCH</v>
      </c>
      <c r="K80" s="2" t="str">
        <f t="shared" si="6"/>
        <v>MATCH</v>
      </c>
      <c r="L80" s="20" t="str">
        <f t="shared" si="7"/>
        <v>OK</v>
      </c>
    </row>
    <row r="81" spans="1:12" x14ac:dyDescent="0.2">
      <c r="A81" t="str">
        <f>Internal_Trades!A81</f>
        <v>TR080</v>
      </c>
      <c r="B81" s="20" t="str">
        <f>Internal_Trades!C81</f>
        <v>UAL</v>
      </c>
      <c r="C81">
        <f>Internal_Trades!E81</f>
        <v>600</v>
      </c>
      <c r="D81">
        <f>Internal_Trades!F81</f>
        <v>52.3</v>
      </c>
      <c r="E81" s="2" t="str">
        <f>Internal_Trades!H81</f>
        <v>Settled</v>
      </c>
      <c r="F81" s="2">
        <f>IFERROR(_xlfn.XLOOKUP(B81,Broker_Confirms!C:C,Broker_Confirms!E:E),"NOT FOUND")</f>
        <v>600</v>
      </c>
      <c r="G81" s="2">
        <f>IFERROR(_xlfn.XLOOKUP(B81,Broker_Confirms!C:C,Broker_Confirms!F:F),"NOT FOUND")</f>
        <v>52.3</v>
      </c>
      <c r="H81" s="2" t="str">
        <f>IFERROR(_xlfn.XLOOKUP(B81,Broker_Confirms!C:C,Broker_Confirms!H:H),"NOT FOUND")</f>
        <v>Settled</v>
      </c>
      <c r="I81" s="2" t="str">
        <f t="shared" si="4"/>
        <v>MATCH</v>
      </c>
      <c r="J81" s="2" t="str">
        <f t="shared" si="5"/>
        <v>MATCH</v>
      </c>
      <c r="K81" s="2" t="str">
        <f t="shared" si="6"/>
        <v>MATCH</v>
      </c>
      <c r="L81" s="20" t="str">
        <f t="shared" si="7"/>
        <v>OK</v>
      </c>
    </row>
    <row r="82" spans="1:12" x14ac:dyDescent="0.2">
      <c r="A82" t="str">
        <f>Internal_Trades!A82</f>
        <v>TR081</v>
      </c>
      <c r="B82" s="20" t="str">
        <f>Internal_Trades!C82</f>
        <v>LUV</v>
      </c>
      <c r="C82">
        <f>Internal_Trades!E82</f>
        <v>800</v>
      </c>
      <c r="D82">
        <f>Internal_Trades!F82</f>
        <v>32.6</v>
      </c>
      <c r="E82" s="2" t="str">
        <f>Internal_Trades!H82</f>
        <v>Pending</v>
      </c>
      <c r="F82" s="2" t="str">
        <f>IFERROR(_xlfn.XLOOKUP(B82,Broker_Confirms!C:C,Broker_Confirms!E:E),"NOT FOUND")</f>
        <v>NOT FOUND</v>
      </c>
      <c r="G82" s="2" t="str">
        <f>IFERROR(_xlfn.XLOOKUP(B82,Broker_Confirms!C:C,Broker_Confirms!F:F),"NOT FOUND")</f>
        <v>NOT FOUND</v>
      </c>
      <c r="H82" s="2" t="str">
        <f>IFERROR(_xlfn.XLOOKUP(B82,Broker_Confirms!C:C,Broker_Confirms!H:H),"NOT FOUND")</f>
        <v>NOT FOUND</v>
      </c>
      <c r="I82" s="2" t="str">
        <f t="shared" si="4"/>
        <v>MISSING</v>
      </c>
      <c r="J82" s="2" t="str">
        <f t="shared" si="5"/>
        <v>MISSING</v>
      </c>
      <c r="K82" s="2" t="str">
        <f t="shared" si="6"/>
        <v>MISSING</v>
      </c>
      <c r="L82" s="20" t="str">
        <f t="shared" si="7"/>
        <v>MISSING TRADE</v>
      </c>
    </row>
    <row r="83" spans="1:12" x14ac:dyDescent="0.2">
      <c r="A83" t="str">
        <f>Internal_Trades!A83</f>
        <v>TR082</v>
      </c>
      <c r="B83" s="20" t="str">
        <f>Internal_Trades!C83</f>
        <v>ALK</v>
      </c>
      <c r="C83">
        <f>Internal_Trades!E83</f>
        <v>400</v>
      </c>
      <c r="D83">
        <f>Internal_Trades!F83</f>
        <v>45.9</v>
      </c>
      <c r="E83" s="2" t="str">
        <f>Internal_Trades!H83</f>
        <v>Settled</v>
      </c>
      <c r="F83" s="2">
        <f>IFERROR(_xlfn.XLOOKUP(B83,Broker_Confirms!C:C,Broker_Confirms!E:E),"NOT FOUND")</f>
        <v>400</v>
      </c>
      <c r="G83" s="2">
        <f>IFERROR(_xlfn.XLOOKUP(B83,Broker_Confirms!C:C,Broker_Confirms!F:F),"NOT FOUND")</f>
        <v>45.9</v>
      </c>
      <c r="H83" s="2" t="str">
        <f>IFERROR(_xlfn.XLOOKUP(B83,Broker_Confirms!C:C,Broker_Confirms!H:H),"NOT FOUND")</f>
        <v>Settled</v>
      </c>
      <c r="I83" s="2" t="str">
        <f t="shared" si="4"/>
        <v>MATCH</v>
      </c>
      <c r="J83" s="2" t="str">
        <f t="shared" si="5"/>
        <v>MATCH</v>
      </c>
      <c r="K83" s="2" t="str">
        <f t="shared" si="6"/>
        <v>MATCH</v>
      </c>
      <c r="L83" s="20" t="str">
        <f t="shared" si="7"/>
        <v>OK</v>
      </c>
    </row>
    <row r="84" spans="1:12" x14ac:dyDescent="0.2">
      <c r="A84" t="str">
        <f>Internal_Trades!A84</f>
        <v>TR083</v>
      </c>
      <c r="B84" s="20" t="str">
        <f>Internal_Trades!C84</f>
        <v>JBLU</v>
      </c>
      <c r="C84">
        <f>Internal_Trades!E84</f>
        <v>1000</v>
      </c>
      <c r="D84">
        <f>Internal_Trades!F84</f>
        <v>7.85</v>
      </c>
      <c r="E84" s="2" t="str">
        <f>Internal_Trades!H84</f>
        <v>Settled</v>
      </c>
      <c r="F84" s="2">
        <f>IFERROR(_xlfn.XLOOKUP(B84,Broker_Confirms!C:C,Broker_Confirms!E:E),"NOT FOUND")</f>
        <v>1000</v>
      </c>
      <c r="G84" s="2">
        <f>IFERROR(_xlfn.XLOOKUP(B84,Broker_Confirms!C:C,Broker_Confirms!F:F),"NOT FOUND")</f>
        <v>7.85</v>
      </c>
      <c r="H84" s="2" t="str">
        <f>IFERROR(_xlfn.XLOOKUP(B84,Broker_Confirms!C:C,Broker_Confirms!H:H),"NOT FOUND")</f>
        <v>Settled</v>
      </c>
      <c r="I84" s="2" t="str">
        <f t="shared" si="4"/>
        <v>MATCH</v>
      </c>
      <c r="J84" s="2" t="str">
        <f t="shared" si="5"/>
        <v>MATCH</v>
      </c>
      <c r="K84" s="2" t="str">
        <f t="shared" si="6"/>
        <v>MATCH</v>
      </c>
      <c r="L84" s="20" t="str">
        <f t="shared" si="7"/>
        <v>OK</v>
      </c>
    </row>
    <row r="85" spans="1:12" x14ac:dyDescent="0.2">
      <c r="A85" t="str">
        <f>Internal_Trades!A85</f>
        <v>TR084</v>
      </c>
      <c r="B85" s="20" t="str">
        <f>Internal_Trades!C85</f>
        <v>SAVE</v>
      </c>
      <c r="C85">
        <f>Internal_Trades!E85</f>
        <v>750</v>
      </c>
      <c r="D85">
        <f>Internal_Trades!F85</f>
        <v>4.2</v>
      </c>
      <c r="E85" s="2" t="str">
        <f>Internal_Trades!H85</f>
        <v>Settled</v>
      </c>
      <c r="F85" s="2">
        <f>IFERROR(_xlfn.XLOOKUP(B85,Broker_Confirms!C:C,Broker_Confirms!E:E),"NOT FOUND")</f>
        <v>750</v>
      </c>
      <c r="G85" s="2">
        <f>IFERROR(_xlfn.XLOOKUP(B85,Broker_Confirms!C:C,Broker_Confirms!F:F),"NOT FOUND")</f>
        <v>4.2</v>
      </c>
      <c r="H85" s="2" t="str">
        <f>IFERROR(_xlfn.XLOOKUP(B85,Broker_Confirms!C:C,Broker_Confirms!H:H),"NOT FOUND")</f>
        <v>Settled</v>
      </c>
      <c r="I85" s="2" t="str">
        <f t="shared" si="4"/>
        <v>MATCH</v>
      </c>
      <c r="J85" s="2" t="str">
        <f t="shared" si="5"/>
        <v>MATCH</v>
      </c>
      <c r="K85" s="2" t="str">
        <f t="shared" si="6"/>
        <v>MATCH</v>
      </c>
      <c r="L85" s="20" t="str">
        <f t="shared" si="7"/>
        <v>OK</v>
      </c>
    </row>
    <row r="86" spans="1:12" x14ac:dyDescent="0.2">
      <c r="A86" t="str">
        <f>Internal_Trades!A86</f>
        <v>TR085</v>
      </c>
      <c r="B86" s="20" t="str">
        <f>Internal_Trades!C86</f>
        <v>HA</v>
      </c>
      <c r="C86">
        <f>Internal_Trades!E86</f>
        <v>500</v>
      </c>
      <c r="D86">
        <f>Internal_Trades!F86</f>
        <v>12.45</v>
      </c>
      <c r="E86" s="2" t="str">
        <f>Internal_Trades!H86</f>
        <v>Settled</v>
      </c>
      <c r="F86" s="2">
        <f>IFERROR(_xlfn.XLOOKUP(B86,Broker_Confirms!C:C,Broker_Confirms!E:E),"NOT FOUND")</f>
        <v>500</v>
      </c>
      <c r="G86" s="2">
        <f>IFERROR(_xlfn.XLOOKUP(B86,Broker_Confirms!C:C,Broker_Confirms!F:F),"NOT FOUND")</f>
        <v>12.5</v>
      </c>
      <c r="H86" s="2" t="str">
        <f>IFERROR(_xlfn.XLOOKUP(B86,Broker_Confirms!C:C,Broker_Confirms!H:H),"NOT FOUND")</f>
        <v>Settled</v>
      </c>
      <c r="I86" s="2" t="str">
        <f t="shared" si="4"/>
        <v>MATCH</v>
      </c>
      <c r="J86" s="2" t="str">
        <f t="shared" si="5"/>
        <v>BREAK</v>
      </c>
      <c r="K86" s="2" t="str">
        <f t="shared" si="6"/>
        <v>MATCH</v>
      </c>
      <c r="L86" s="20" t="str">
        <f t="shared" si="7"/>
        <v>PRICE BREAK</v>
      </c>
    </row>
    <row r="87" spans="1:12" x14ac:dyDescent="0.2">
      <c r="A87" t="str">
        <f>Internal_Trades!A87</f>
        <v>TR086</v>
      </c>
      <c r="B87" s="20" t="str">
        <f>Internal_Trades!C87</f>
        <v>CCL</v>
      </c>
      <c r="C87">
        <f>Internal_Trades!E87</f>
        <v>900</v>
      </c>
      <c r="D87">
        <f>Internal_Trades!F87</f>
        <v>18.75</v>
      </c>
      <c r="E87" s="2" t="str">
        <f>Internal_Trades!H87</f>
        <v>Settled</v>
      </c>
      <c r="F87" s="2">
        <f>IFERROR(_xlfn.XLOOKUP(B87,Broker_Confirms!C:C,Broker_Confirms!E:E),"NOT FOUND")</f>
        <v>900</v>
      </c>
      <c r="G87" s="2">
        <f>IFERROR(_xlfn.XLOOKUP(B87,Broker_Confirms!C:C,Broker_Confirms!F:F),"NOT FOUND")</f>
        <v>18.75</v>
      </c>
      <c r="H87" s="2" t="str">
        <f>IFERROR(_xlfn.XLOOKUP(B87,Broker_Confirms!C:C,Broker_Confirms!H:H),"NOT FOUND")</f>
        <v>Settled</v>
      </c>
      <c r="I87" s="2" t="str">
        <f t="shared" si="4"/>
        <v>MATCH</v>
      </c>
      <c r="J87" s="2" t="str">
        <f t="shared" si="5"/>
        <v>MATCH</v>
      </c>
      <c r="K87" s="2" t="str">
        <f t="shared" si="6"/>
        <v>MATCH</v>
      </c>
      <c r="L87" s="20" t="str">
        <f t="shared" si="7"/>
        <v>OK</v>
      </c>
    </row>
    <row r="88" spans="1:12" x14ac:dyDescent="0.2">
      <c r="A88" t="str">
        <f>Internal_Trades!A88</f>
        <v>TR087</v>
      </c>
      <c r="B88" s="20" t="str">
        <f>Internal_Trades!C88</f>
        <v>RCL</v>
      </c>
      <c r="C88">
        <f>Internal_Trades!E88</f>
        <v>350</v>
      </c>
      <c r="D88">
        <f>Internal_Trades!F88</f>
        <v>165.4</v>
      </c>
      <c r="E88" s="2" t="str">
        <f>Internal_Trades!H88</f>
        <v>Settled</v>
      </c>
      <c r="F88" s="2">
        <f>IFERROR(_xlfn.XLOOKUP(B88,Broker_Confirms!C:C,Broker_Confirms!E:E),"NOT FOUND")</f>
        <v>350</v>
      </c>
      <c r="G88" s="2">
        <f>IFERROR(_xlfn.XLOOKUP(B88,Broker_Confirms!C:C,Broker_Confirms!F:F),"NOT FOUND")</f>
        <v>165.4</v>
      </c>
      <c r="H88" s="2" t="str">
        <f>IFERROR(_xlfn.XLOOKUP(B88,Broker_Confirms!C:C,Broker_Confirms!H:H),"NOT FOUND")</f>
        <v>Settled</v>
      </c>
      <c r="I88" s="2" t="str">
        <f t="shared" si="4"/>
        <v>MATCH</v>
      </c>
      <c r="J88" s="2" t="str">
        <f t="shared" si="5"/>
        <v>MATCH</v>
      </c>
      <c r="K88" s="2" t="str">
        <f t="shared" si="6"/>
        <v>MATCH</v>
      </c>
      <c r="L88" s="20" t="str">
        <f t="shared" si="7"/>
        <v>OK</v>
      </c>
    </row>
    <row r="89" spans="1:12" x14ac:dyDescent="0.2">
      <c r="A89" t="str">
        <f>Internal_Trades!A89</f>
        <v>TR088</v>
      </c>
      <c r="B89" s="20" t="str">
        <f>Internal_Trades!C89</f>
        <v>NCLH</v>
      </c>
      <c r="C89">
        <f>Internal_Trades!E89</f>
        <v>600</v>
      </c>
      <c r="D89">
        <f>Internal_Trades!F89</f>
        <v>22.9</v>
      </c>
      <c r="E89" s="2" t="str">
        <f>Internal_Trades!H89</f>
        <v>Settled</v>
      </c>
      <c r="F89" s="2">
        <f>IFERROR(_xlfn.XLOOKUP(B89,Broker_Confirms!C:C,Broker_Confirms!E:E),"NOT FOUND")</f>
        <v>600</v>
      </c>
      <c r="G89" s="2">
        <f>IFERROR(_xlfn.XLOOKUP(B89,Broker_Confirms!C:C,Broker_Confirms!F:F),"NOT FOUND")</f>
        <v>22.9</v>
      </c>
      <c r="H89" s="2" t="str">
        <f>IFERROR(_xlfn.XLOOKUP(B89,Broker_Confirms!C:C,Broker_Confirms!H:H),"NOT FOUND")</f>
        <v>Settled</v>
      </c>
      <c r="I89" s="2" t="str">
        <f t="shared" si="4"/>
        <v>MATCH</v>
      </c>
      <c r="J89" s="2" t="str">
        <f t="shared" si="5"/>
        <v>MATCH</v>
      </c>
      <c r="K89" s="2" t="str">
        <f t="shared" si="6"/>
        <v>MATCH</v>
      </c>
      <c r="L89" s="20" t="str">
        <f t="shared" si="7"/>
        <v>OK</v>
      </c>
    </row>
    <row r="90" spans="1:12" x14ac:dyDescent="0.2">
      <c r="A90" t="str">
        <f>Internal_Trades!A90</f>
        <v>TR089</v>
      </c>
      <c r="B90" s="20" t="str">
        <f>Internal_Trades!C90</f>
        <v>CUK</v>
      </c>
      <c r="C90">
        <f>Internal_Trades!E90</f>
        <v>450</v>
      </c>
      <c r="D90">
        <f>Internal_Trades!F90</f>
        <v>18.600000000000001</v>
      </c>
      <c r="E90" s="2" t="str">
        <f>Internal_Trades!H90</f>
        <v>Settled</v>
      </c>
      <c r="F90" s="2">
        <f>IFERROR(_xlfn.XLOOKUP(B90,Broker_Confirms!C:C,Broker_Confirms!E:E),"NOT FOUND")</f>
        <v>450</v>
      </c>
      <c r="G90" s="2">
        <f>IFERROR(_xlfn.XLOOKUP(B90,Broker_Confirms!C:C,Broker_Confirms!F:F),"NOT FOUND")</f>
        <v>18.600000000000001</v>
      </c>
      <c r="H90" s="2" t="str">
        <f>IFERROR(_xlfn.XLOOKUP(B90,Broker_Confirms!C:C,Broker_Confirms!H:H),"NOT FOUND")</f>
        <v>Settled</v>
      </c>
      <c r="I90" s="2" t="str">
        <f t="shared" si="4"/>
        <v>MATCH</v>
      </c>
      <c r="J90" s="2" t="str">
        <f t="shared" si="5"/>
        <v>MATCH</v>
      </c>
      <c r="K90" s="2" t="str">
        <f t="shared" si="6"/>
        <v>MATCH</v>
      </c>
      <c r="L90" s="20" t="str">
        <f t="shared" si="7"/>
        <v>OK</v>
      </c>
    </row>
    <row r="91" spans="1:12" x14ac:dyDescent="0.2">
      <c r="A91" t="str">
        <f>Internal_Trades!A91</f>
        <v>TR090</v>
      </c>
      <c r="B91" s="20" t="str">
        <f>Internal_Trades!C91</f>
        <v>PLNT</v>
      </c>
      <c r="C91">
        <f>Internal_Trades!E91</f>
        <v>300</v>
      </c>
      <c r="D91">
        <f>Internal_Trades!F91</f>
        <v>72.349999999999994</v>
      </c>
      <c r="E91" s="2" t="str">
        <f>Internal_Trades!H91</f>
        <v>Settled</v>
      </c>
      <c r="F91" s="2">
        <f>IFERROR(_xlfn.XLOOKUP(B91,Broker_Confirms!C:C,Broker_Confirms!E:E),"NOT FOUND")</f>
        <v>300</v>
      </c>
      <c r="G91" s="2">
        <f>IFERROR(_xlfn.XLOOKUP(B91,Broker_Confirms!C:C,Broker_Confirms!F:F),"NOT FOUND")</f>
        <v>72.349999999999994</v>
      </c>
      <c r="H91" s="2" t="str">
        <f>IFERROR(_xlfn.XLOOKUP(B91,Broker_Confirms!C:C,Broker_Confirms!H:H),"NOT FOUND")</f>
        <v>Settled</v>
      </c>
      <c r="I91" s="2" t="str">
        <f t="shared" si="4"/>
        <v>MATCH</v>
      </c>
      <c r="J91" s="2" t="str">
        <f t="shared" si="5"/>
        <v>MATCH</v>
      </c>
      <c r="K91" s="2" t="str">
        <f t="shared" si="6"/>
        <v>MATCH</v>
      </c>
      <c r="L91" s="20" t="str">
        <f t="shared" si="7"/>
        <v>OK</v>
      </c>
    </row>
    <row r="92" spans="1:12" x14ac:dyDescent="0.2">
      <c r="A92" t="str">
        <f>Internal_Trades!A92</f>
        <v>TR091</v>
      </c>
      <c r="B92" s="20" t="str">
        <f>Internal_Trades!C92</f>
        <v>LULU</v>
      </c>
      <c r="C92">
        <f>Internal_Trades!E92</f>
        <v>250</v>
      </c>
      <c r="D92">
        <f>Internal_Trades!F92</f>
        <v>385.6</v>
      </c>
      <c r="E92" s="2" t="str">
        <f>Internal_Trades!H92</f>
        <v>Settled</v>
      </c>
      <c r="F92" s="2">
        <f>IFERROR(_xlfn.XLOOKUP(B92,Broker_Confirms!C:C,Broker_Confirms!E:E),"NOT FOUND")</f>
        <v>250</v>
      </c>
      <c r="G92" s="2">
        <f>IFERROR(_xlfn.XLOOKUP(B92,Broker_Confirms!C:C,Broker_Confirms!F:F),"NOT FOUND")</f>
        <v>385.6</v>
      </c>
      <c r="H92" s="2" t="str">
        <f>IFERROR(_xlfn.XLOOKUP(B92,Broker_Confirms!C:C,Broker_Confirms!H:H),"NOT FOUND")</f>
        <v>Settled</v>
      </c>
      <c r="I92" s="2" t="str">
        <f t="shared" si="4"/>
        <v>MATCH</v>
      </c>
      <c r="J92" s="2" t="str">
        <f t="shared" si="5"/>
        <v>MATCH</v>
      </c>
      <c r="K92" s="2" t="str">
        <f t="shared" si="6"/>
        <v>MATCH</v>
      </c>
      <c r="L92" s="20" t="str">
        <f t="shared" si="7"/>
        <v>OK</v>
      </c>
    </row>
    <row r="93" spans="1:12" x14ac:dyDescent="0.2">
      <c r="A93" t="str">
        <f>Internal_Trades!A93</f>
        <v>TR092</v>
      </c>
      <c r="B93" s="20" t="str">
        <f>Internal_Trades!C93</f>
        <v>DECK</v>
      </c>
      <c r="C93">
        <f>Internal_Trades!E93</f>
        <v>150</v>
      </c>
      <c r="D93">
        <f>Internal_Trades!F93</f>
        <v>985.4</v>
      </c>
      <c r="E93" s="2" t="str">
        <f>Internal_Trades!H93</f>
        <v>Settled</v>
      </c>
      <c r="F93" s="2">
        <f>IFERROR(_xlfn.XLOOKUP(B93,Broker_Confirms!C:C,Broker_Confirms!E:E),"NOT FOUND")</f>
        <v>150</v>
      </c>
      <c r="G93" s="2">
        <f>IFERROR(_xlfn.XLOOKUP(B93,Broker_Confirms!C:C,Broker_Confirms!F:F),"NOT FOUND")</f>
        <v>985.4</v>
      </c>
      <c r="H93" s="2" t="str">
        <f>IFERROR(_xlfn.XLOOKUP(B93,Broker_Confirms!C:C,Broker_Confirms!H:H),"NOT FOUND")</f>
        <v>Settled</v>
      </c>
      <c r="I93" s="2" t="str">
        <f t="shared" si="4"/>
        <v>MATCH</v>
      </c>
      <c r="J93" s="2" t="str">
        <f t="shared" si="5"/>
        <v>MATCH</v>
      </c>
      <c r="K93" s="2" t="str">
        <f t="shared" si="6"/>
        <v>MATCH</v>
      </c>
      <c r="L93" s="20" t="str">
        <f t="shared" si="7"/>
        <v>OK</v>
      </c>
    </row>
    <row r="94" spans="1:12" x14ac:dyDescent="0.2">
      <c r="A94" t="str">
        <f>Internal_Trades!A94</f>
        <v>TR093</v>
      </c>
      <c r="B94" s="20" t="str">
        <f>Internal_Trades!C94</f>
        <v>CROX</v>
      </c>
      <c r="C94">
        <f>Internal_Trades!E94</f>
        <v>700</v>
      </c>
      <c r="D94">
        <f>Internal_Trades!F94</f>
        <v>142.80000000000001</v>
      </c>
      <c r="E94" s="2" t="str">
        <f>Internal_Trades!H94</f>
        <v>Settled</v>
      </c>
      <c r="F94" s="2">
        <f>IFERROR(_xlfn.XLOOKUP(B94,Broker_Confirms!C:C,Broker_Confirms!E:E),"NOT FOUND")</f>
        <v>700</v>
      </c>
      <c r="G94" s="2">
        <f>IFERROR(_xlfn.XLOOKUP(B94,Broker_Confirms!C:C,Broker_Confirms!F:F),"NOT FOUND")</f>
        <v>142.80000000000001</v>
      </c>
      <c r="H94" s="2" t="str">
        <f>IFERROR(_xlfn.XLOOKUP(B94,Broker_Confirms!C:C,Broker_Confirms!H:H),"NOT FOUND")</f>
        <v>Settled</v>
      </c>
      <c r="I94" s="2" t="str">
        <f t="shared" si="4"/>
        <v>MATCH</v>
      </c>
      <c r="J94" s="2" t="str">
        <f t="shared" si="5"/>
        <v>MATCH</v>
      </c>
      <c r="K94" s="2" t="str">
        <f t="shared" si="6"/>
        <v>MATCH</v>
      </c>
      <c r="L94" s="20" t="str">
        <f t="shared" si="7"/>
        <v>OK</v>
      </c>
    </row>
    <row r="95" spans="1:12" x14ac:dyDescent="0.2">
      <c r="A95" t="str">
        <f>Internal_Trades!A95</f>
        <v>TR094</v>
      </c>
      <c r="B95" s="20" t="str">
        <f>Internal_Trades!C95</f>
        <v>SKX</v>
      </c>
      <c r="C95">
        <f>Internal_Trades!E95</f>
        <v>800</v>
      </c>
      <c r="D95">
        <f>Internal_Trades!F95</f>
        <v>62.45</v>
      </c>
      <c r="E95" s="2" t="str">
        <f>Internal_Trades!H95</f>
        <v>Settled</v>
      </c>
      <c r="F95" s="2">
        <f>IFERROR(_xlfn.XLOOKUP(B95,Broker_Confirms!C:C,Broker_Confirms!E:E),"NOT FOUND")</f>
        <v>798</v>
      </c>
      <c r="G95" s="2">
        <f>IFERROR(_xlfn.XLOOKUP(B95,Broker_Confirms!C:C,Broker_Confirms!F:F),"NOT FOUND")</f>
        <v>62.45</v>
      </c>
      <c r="H95" s="2" t="str">
        <f>IFERROR(_xlfn.XLOOKUP(B95,Broker_Confirms!C:C,Broker_Confirms!H:H),"NOT FOUND")</f>
        <v>Settled</v>
      </c>
      <c r="I95" s="2" t="str">
        <f t="shared" si="4"/>
        <v>BREAK</v>
      </c>
      <c r="J95" s="2" t="str">
        <f t="shared" si="5"/>
        <v>MATCH</v>
      </c>
      <c r="K95" s="2" t="str">
        <f t="shared" si="6"/>
        <v>MATCH</v>
      </c>
      <c r="L95" s="20" t="str">
        <f t="shared" si="7"/>
        <v>QTY BREAK</v>
      </c>
    </row>
    <row r="96" spans="1:12" x14ac:dyDescent="0.2">
      <c r="A96" t="str">
        <f>Internal_Trades!A96</f>
        <v>TR095</v>
      </c>
      <c r="B96" s="20" t="str">
        <f>Internal_Trades!C96</f>
        <v>FL</v>
      </c>
      <c r="C96">
        <f>Internal_Trades!E96</f>
        <v>500</v>
      </c>
      <c r="D96">
        <f>Internal_Trades!F96</f>
        <v>38.9</v>
      </c>
      <c r="E96" s="2" t="str">
        <f>Internal_Trades!H96</f>
        <v>Settled</v>
      </c>
      <c r="F96" s="2">
        <f>IFERROR(_xlfn.XLOOKUP(B96,Broker_Confirms!C:C,Broker_Confirms!E:E),"NOT FOUND")</f>
        <v>500</v>
      </c>
      <c r="G96" s="2">
        <f>IFERROR(_xlfn.XLOOKUP(B96,Broker_Confirms!C:C,Broker_Confirms!F:F),"NOT FOUND")</f>
        <v>38.9</v>
      </c>
      <c r="H96" s="2" t="str">
        <f>IFERROR(_xlfn.XLOOKUP(B96,Broker_Confirms!C:C,Broker_Confirms!H:H),"NOT FOUND")</f>
        <v>Settled</v>
      </c>
      <c r="I96" s="2" t="str">
        <f t="shared" si="4"/>
        <v>MATCH</v>
      </c>
      <c r="J96" s="2" t="str">
        <f t="shared" si="5"/>
        <v>MATCH</v>
      </c>
      <c r="K96" s="2" t="str">
        <f t="shared" si="6"/>
        <v>MATCH</v>
      </c>
      <c r="L96" s="20" t="str">
        <f t="shared" si="7"/>
        <v>OK</v>
      </c>
    </row>
    <row r="97" spans="1:12" x14ac:dyDescent="0.2">
      <c r="A97" t="str">
        <f>Internal_Trades!A97</f>
        <v>TR096</v>
      </c>
      <c r="B97" s="20" t="str">
        <f>Internal_Trades!C97</f>
        <v>FOOT</v>
      </c>
      <c r="C97">
        <f>Internal_Trades!E97</f>
        <v>600</v>
      </c>
      <c r="D97">
        <f>Internal_Trades!F97</f>
        <v>22.7</v>
      </c>
      <c r="E97" s="2" t="str">
        <f>Internal_Trades!H97</f>
        <v>Settled</v>
      </c>
      <c r="F97" s="2">
        <f>IFERROR(_xlfn.XLOOKUP(B97,Broker_Confirms!C:C,Broker_Confirms!E:E),"NOT FOUND")</f>
        <v>600</v>
      </c>
      <c r="G97" s="2">
        <f>IFERROR(_xlfn.XLOOKUP(B97,Broker_Confirms!C:C,Broker_Confirms!F:F),"NOT FOUND")</f>
        <v>22.7</v>
      </c>
      <c r="H97" s="2" t="str">
        <f>IFERROR(_xlfn.XLOOKUP(B97,Broker_Confirms!C:C,Broker_Confirms!H:H),"NOT FOUND")</f>
        <v>Settled</v>
      </c>
      <c r="I97" s="2" t="str">
        <f t="shared" si="4"/>
        <v>MATCH</v>
      </c>
      <c r="J97" s="2" t="str">
        <f t="shared" si="5"/>
        <v>MATCH</v>
      </c>
      <c r="K97" s="2" t="str">
        <f t="shared" si="6"/>
        <v>MATCH</v>
      </c>
      <c r="L97" s="20" t="str">
        <f t="shared" si="7"/>
        <v>OK</v>
      </c>
    </row>
    <row r="98" spans="1:12" x14ac:dyDescent="0.2">
      <c r="A98" t="str">
        <f>Internal_Trades!A98</f>
        <v>TR097</v>
      </c>
      <c r="B98" s="20" t="str">
        <f>Internal_Trades!C98</f>
        <v>HIBB</v>
      </c>
      <c r="C98">
        <f>Internal_Trades!E98</f>
        <v>400</v>
      </c>
      <c r="D98">
        <f>Internal_Trades!F98</f>
        <v>78.25</v>
      </c>
      <c r="E98" s="2" t="str">
        <f>Internal_Trades!H98</f>
        <v>Settled</v>
      </c>
      <c r="F98" s="2">
        <f>IFERROR(_xlfn.XLOOKUP(B98,Broker_Confirms!C:C,Broker_Confirms!E:E),"NOT FOUND")</f>
        <v>400</v>
      </c>
      <c r="G98" s="2">
        <f>IFERROR(_xlfn.XLOOKUP(B98,Broker_Confirms!C:C,Broker_Confirms!F:F),"NOT FOUND")</f>
        <v>78.25</v>
      </c>
      <c r="H98" s="2" t="str">
        <f>IFERROR(_xlfn.XLOOKUP(B98,Broker_Confirms!C:C,Broker_Confirms!H:H),"NOT FOUND")</f>
        <v>Settled</v>
      </c>
      <c r="I98" s="2" t="str">
        <f t="shared" si="4"/>
        <v>MATCH</v>
      </c>
      <c r="J98" s="2" t="str">
        <f t="shared" si="5"/>
        <v>MATCH</v>
      </c>
      <c r="K98" s="2" t="str">
        <f t="shared" si="6"/>
        <v>MATCH</v>
      </c>
      <c r="L98" s="20" t="str">
        <f t="shared" si="7"/>
        <v>OK</v>
      </c>
    </row>
    <row r="99" spans="1:12" x14ac:dyDescent="0.2">
      <c r="A99" t="str">
        <f>Internal_Trades!A99</f>
        <v>TR098</v>
      </c>
      <c r="B99" s="20" t="str">
        <f>Internal_Trades!C99</f>
        <v>BOOT</v>
      </c>
      <c r="C99">
        <f>Internal_Trades!E99</f>
        <v>350</v>
      </c>
      <c r="D99">
        <f>Internal_Trades!F99</f>
        <v>108.6</v>
      </c>
      <c r="E99" s="2" t="str">
        <f>Internal_Trades!H99</f>
        <v>Settled</v>
      </c>
      <c r="F99" s="2">
        <f>IFERROR(_xlfn.XLOOKUP(B99,Broker_Confirms!C:C,Broker_Confirms!E:E),"NOT FOUND")</f>
        <v>350</v>
      </c>
      <c r="G99" s="2">
        <f>IFERROR(_xlfn.XLOOKUP(B99,Broker_Confirms!C:C,Broker_Confirms!F:F),"NOT FOUND")</f>
        <v>108.6</v>
      </c>
      <c r="H99" s="2" t="str">
        <f>IFERROR(_xlfn.XLOOKUP(B99,Broker_Confirms!C:C,Broker_Confirms!H:H),"NOT FOUND")</f>
        <v>Settled</v>
      </c>
      <c r="I99" s="2" t="str">
        <f t="shared" si="4"/>
        <v>MATCH</v>
      </c>
      <c r="J99" s="2" t="str">
        <f t="shared" si="5"/>
        <v>MATCH</v>
      </c>
      <c r="K99" s="2" t="str">
        <f t="shared" si="6"/>
        <v>MATCH</v>
      </c>
      <c r="L99" s="20" t="str">
        <f t="shared" si="7"/>
        <v>OK</v>
      </c>
    </row>
    <row r="100" spans="1:12" x14ac:dyDescent="0.2">
      <c r="A100" t="str">
        <f>Internal_Trades!A100</f>
        <v>TR099</v>
      </c>
      <c r="B100" s="20" t="str">
        <f>Internal_Trades!C100</f>
        <v>WSM</v>
      </c>
      <c r="C100">
        <f>Internal_Trades!E100</f>
        <v>200</v>
      </c>
      <c r="D100">
        <f>Internal_Trades!F100</f>
        <v>142.35</v>
      </c>
      <c r="E100" s="2" t="str">
        <f>Internal_Trades!H100</f>
        <v>Settled</v>
      </c>
      <c r="F100" s="2">
        <f>IFERROR(_xlfn.XLOOKUP(B100,Broker_Confirms!C:C,Broker_Confirms!E:E),"NOT FOUND")</f>
        <v>200</v>
      </c>
      <c r="G100" s="2">
        <f>IFERROR(_xlfn.XLOOKUP(B100,Broker_Confirms!C:C,Broker_Confirms!F:F),"NOT FOUND")</f>
        <v>142.35</v>
      </c>
      <c r="H100" s="2" t="str">
        <f>IFERROR(_xlfn.XLOOKUP(B100,Broker_Confirms!C:C,Broker_Confirms!H:H),"NOT FOUND")</f>
        <v>Settled</v>
      </c>
      <c r="I100" s="2" t="str">
        <f t="shared" si="4"/>
        <v>MATCH</v>
      </c>
      <c r="J100" s="2" t="str">
        <f t="shared" si="5"/>
        <v>MATCH</v>
      </c>
      <c r="K100" s="2" t="str">
        <f t="shared" si="6"/>
        <v>MATCH</v>
      </c>
      <c r="L100" s="20" t="str">
        <f t="shared" si="7"/>
        <v>OK</v>
      </c>
    </row>
    <row r="101" spans="1:12" x14ac:dyDescent="0.2">
      <c r="A101" t="str">
        <f>Internal_Trades!A101</f>
        <v>TR100</v>
      </c>
      <c r="B101" s="20" t="str">
        <f>Internal_Trades!C101</f>
        <v>RH</v>
      </c>
      <c r="C101">
        <f>Internal_Trades!E101</f>
        <v>100</v>
      </c>
      <c r="D101">
        <f>Internal_Trades!F101</f>
        <v>312.89999999999998</v>
      </c>
      <c r="E101" s="2" t="str">
        <f>Internal_Trades!H101</f>
        <v>Settled</v>
      </c>
      <c r="F101" s="2">
        <f>IFERROR(_xlfn.XLOOKUP(B101,Broker_Confirms!C:C,Broker_Confirms!E:E),"NOT FOUND")</f>
        <v>100</v>
      </c>
      <c r="G101" s="2">
        <f>IFERROR(_xlfn.XLOOKUP(B101,Broker_Confirms!C:C,Broker_Confirms!F:F),"NOT FOUND")</f>
        <v>312.89999999999998</v>
      </c>
      <c r="H101" s="2" t="str">
        <f>IFERROR(_xlfn.XLOOKUP(B101,Broker_Confirms!C:C,Broker_Confirms!H:H),"NOT FOUND")</f>
        <v>Settled</v>
      </c>
      <c r="I101" s="2" t="str">
        <f t="shared" si="4"/>
        <v>MATCH</v>
      </c>
      <c r="J101" s="2" t="str">
        <f t="shared" si="5"/>
        <v>MATCH</v>
      </c>
      <c r="K101" s="2" t="str">
        <f t="shared" si="6"/>
        <v>MATCH</v>
      </c>
      <c r="L101" s="20" t="str">
        <f t="shared" si="7"/>
        <v>OK</v>
      </c>
    </row>
  </sheetData>
  <conditionalFormatting sqref="L2:L101">
    <cfRule type="containsText" dxfId="2" priority="1" operator="containsText" text="OK">
      <formula>NOT(ISERROR(SEARCH("OK",L2)))</formula>
    </cfRule>
    <cfRule type="containsText" dxfId="1" priority="2" operator="containsText" text="MISSING TRADE">
      <formula>NOT(ISERROR(SEARCH("MISSING TRADE",L2)))</formula>
    </cfRule>
    <cfRule type="containsText" dxfId="0" priority="3" operator="containsText" text="BREAk">
      <formula>NOT(ISERROR(SEARCH("BREAk",L2)))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9C2E-B11F-BA44-9660-D3004EAB43AD}">
  <sheetPr>
    <tabColor theme="5"/>
  </sheetPr>
  <dimension ref="A1:B20"/>
  <sheetViews>
    <sheetView showGridLines="0" workbookViewId="0">
      <selection activeCell="D26" sqref="D26"/>
    </sheetView>
  </sheetViews>
  <sheetFormatPr baseColWidth="10" defaultRowHeight="16" x14ac:dyDescent="0.2"/>
  <cols>
    <col min="1" max="1" width="33.6640625" bestFit="1" customWidth="1"/>
  </cols>
  <sheetData>
    <row r="1" spans="1:2" x14ac:dyDescent="0.2">
      <c r="A1" s="25" t="s">
        <v>482</v>
      </c>
    </row>
    <row r="2" spans="1:2" x14ac:dyDescent="0.2">
      <c r="A2" s="25" t="s">
        <v>483</v>
      </c>
    </row>
    <row r="3" spans="1:2" x14ac:dyDescent="0.2">
      <c r="A3" s="25" t="s">
        <v>484</v>
      </c>
    </row>
    <row r="5" spans="1:2" ht="25" thickBot="1" x14ac:dyDescent="0.35">
      <c r="A5" s="5" t="s">
        <v>70</v>
      </c>
      <c r="B5" s="6"/>
    </row>
    <row r="6" spans="1:2" ht="17" thickBot="1" x14ac:dyDescent="0.25"/>
    <row r="7" spans="1:2" ht="23" thickBot="1" x14ac:dyDescent="0.35">
      <c r="A7" s="7" t="s">
        <v>71</v>
      </c>
      <c r="B7" s="8">
        <f>COUNTA(Reconciliation!A2:A101)</f>
        <v>100</v>
      </c>
    </row>
    <row r="8" spans="1:2" ht="23" thickBot="1" x14ac:dyDescent="0.35">
      <c r="A8" s="7" t="s">
        <v>72</v>
      </c>
      <c r="B8" s="9">
        <f>COUNTIF(Reconciliation!L2:L101,"OK")</f>
        <v>82</v>
      </c>
    </row>
    <row r="9" spans="1:2" ht="23" thickBot="1" x14ac:dyDescent="0.35">
      <c r="A9" s="7" t="s">
        <v>73</v>
      </c>
      <c r="B9" s="10">
        <f>B7-B8</f>
        <v>18</v>
      </c>
    </row>
    <row r="10" spans="1:2" ht="20" thickBot="1" x14ac:dyDescent="0.3">
      <c r="A10" s="4"/>
    </row>
    <row r="11" spans="1:2" ht="20" thickBot="1" x14ac:dyDescent="0.3">
      <c r="A11" s="7" t="s">
        <v>74</v>
      </c>
      <c r="B11" s="11"/>
    </row>
    <row r="12" spans="1:2" ht="20" thickBot="1" x14ac:dyDescent="0.3">
      <c r="A12" s="12" t="s">
        <v>75</v>
      </c>
      <c r="B12" s="13">
        <f>COUNTIF(Reconciliation!L2:L101,"QTY BREAK")</f>
        <v>8</v>
      </c>
    </row>
    <row r="13" spans="1:2" ht="20" thickBot="1" x14ac:dyDescent="0.3">
      <c r="A13" s="12" t="s">
        <v>76</v>
      </c>
      <c r="B13" s="13">
        <f>COUNTIF(Reconciliation!L2:L101,"PRICE BREAK")</f>
        <v>5</v>
      </c>
    </row>
    <row r="14" spans="1:2" ht="20" thickBot="1" x14ac:dyDescent="0.3">
      <c r="A14" s="12" t="s">
        <v>77</v>
      </c>
      <c r="B14" s="13">
        <f>COUNTIF(Reconciliation!L2:L101,"STATUS BREAK")</f>
        <v>1</v>
      </c>
    </row>
    <row r="15" spans="1:2" ht="20" thickBot="1" x14ac:dyDescent="0.3">
      <c r="A15" s="12" t="s">
        <v>78</v>
      </c>
      <c r="B15" s="13">
        <f>COUNTIF(Reconciliation!L2:L101,"MISSING TRADE")</f>
        <v>4</v>
      </c>
    </row>
    <row r="16" spans="1:2" ht="20" thickBot="1" x14ac:dyDescent="0.3">
      <c r="A16" s="12" t="s">
        <v>79</v>
      </c>
      <c r="B16" s="13">
        <f>COUNTIF(Reconciliation!L2:L101,"MULTIPLE BREAKS")</f>
        <v>0</v>
      </c>
    </row>
    <row r="17" spans="1:2" ht="20" thickBot="1" x14ac:dyDescent="0.3">
      <c r="A17" s="4"/>
    </row>
    <row r="18" spans="1:2" ht="28" thickBot="1" x14ac:dyDescent="0.4">
      <c r="A18" s="14" t="s">
        <v>80</v>
      </c>
      <c r="B18" s="15" t="str">
        <f>TEXT(B8/B7,"0.0%")</f>
        <v>82.0%</v>
      </c>
    </row>
    <row r="20" spans="1:2" x14ac:dyDescent="0.2">
      <c r="A20" s="26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A569-FA12-9C41-904F-54E9E9F423CE}">
  <sheetPr>
    <tabColor theme="4"/>
  </sheetPr>
  <dimension ref="A1:I111"/>
  <sheetViews>
    <sheetView showGridLines="0" workbookViewId="0">
      <selection activeCell="M8" sqref="M8"/>
    </sheetView>
  </sheetViews>
  <sheetFormatPr baseColWidth="10" defaultRowHeight="16" x14ac:dyDescent="0.2"/>
  <cols>
    <col min="1" max="1" width="28.83203125" style="2" bestFit="1" customWidth="1"/>
    <col min="2" max="2" width="41.83203125" style="20" bestFit="1" customWidth="1"/>
    <col min="3" max="3" width="16.5" style="2" customWidth="1"/>
    <col min="4" max="4" width="25.33203125" style="2" bestFit="1" customWidth="1"/>
    <col min="5" max="5" width="12" style="2" customWidth="1"/>
  </cols>
  <sheetData>
    <row r="1" spans="1:9" ht="19" x14ac:dyDescent="0.25">
      <c r="A1" s="18" t="s">
        <v>2</v>
      </c>
      <c r="B1" s="16" t="s">
        <v>81</v>
      </c>
      <c r="C1" s="18" t="s">
        <v>82</v>
      </c>
      <c r="D1" s="18" t="s">
        <v>83</v>
      </c>
      <c r="E1" s="18" t="s">
        <v>84</v>
      </c>
    </row>
    <row r="2" spans="1:9" x14ac:dyDescent="0.2">
      <c r="A2" s="2" t="s">
        <v>8</v>
      </c>
      <c r="B2" s="20" t="s">
        <v>85</v>
      </c>
      <c r="C2" s="2" t="s">
        <v>86</v>
      </c>
      <c r="D2" s="2" t="s">
        <v>87</v>
      </c>
      <c r="E2" s="2" t="s">
        <v>88</v>
      </c>
    </row>
    <row r="3" spans="1:9" x14ac:dyDescent="0.2">
      <c r="A3" s="2" t="s">
        <v>12</v>
      </c>
      <c r="B3" s="20" t="s">
        <v>89</v>
      </c>
      <c r="C3" s="2" t="s">
        <v>86</v>
      </c>
      <c r="D3" s="2" t="s">
        <v>87</v>
      </c>
      <c r="E3" s="2" t="s">
        <v>88</v>
      </c>
    </row>
    <row r="4" spans="1:9" x14ac:dyDescent="0.2">
      <c r="A4" s="2" t="s">
        <v>15</v>
      </c>
      <c r="B4" s="20" t="s">
        <v>90</v>
      </c>
      <c r="C4" s="2" t="s">
        <v>86</v>
      </c>
      <c r="D4" s="2" t="s">
        <v>87</v>
      </c>
      <c r="E4" s="2" t="s">
        <v>88</v>
      </c>
    </row>
    <row r="5" spans="1:9" x14ac:dyDescent="0.2">
      <c r="A5" s="2" t="s">
        <v>17</v>
      </c>
      <c r="B5" s="20" t="s">
        <v>91</v>
      </c>
      <c r="C5" s="2" t="s">
        <v>92</v>
      </c>
      <c r="D5" s="2" t="s">
        <v>87</v>
      </c>
      <c r="E5" s="2" t="s">
        <v>88</v>
      </c>
    </row>
    <row r="6" spans="1:9" x14ac:dyDescent="0.2">
      <c r="A6" s="2" t="s">
        <v>19</v>
      </c>
      <c r="B6" s="20" t="s">
        <v>93</v>
      </c>
      <c r="C6" s="2" t="s">
        <v>94</v>
      </c>
      <c r="D6" s="2" t="s">
        <v>95</v>
      </c>
      <c r="E6" s="2" t="s">
        <v>88</v>
      </c>
    </row>
    <row r="7" spans="1:9" x14ac:dyDescent="0.2">
      <c r="A7" s="2" t="s">
        <v>21</v>
      </c>
      <c r="B7" s="20" t="s">
        <v>96</v>
      </c>
      <c r="C7" s="2" t="s">
        <v>86</v>
      </c>
      <c r="D7" s="2" t="s">
        <v>87</v>
      </c>
      <c r="E7" s="2" t="s">
        <v>88</v>
      </c>
      <c r="I7" s="2"/>
    </row>
    <row r="8" spans="1:9" x14ac:dyDescent="0.2">
      <c r="A8" s="2" t="s">
        <v>24</v>
      </c>
      <c r="B8" s="20" t="s">
        <v>97</v>
      </c>
      <c r="C8" s="2" t="s">
        <v>86</v>
      </c>
      <c r="D8" s="2" t="s">
        <v>87</v>
      </c>
      <c r="E8" s="2" t="s">
        <v>88</v>
      </c>
    </row>
    <row r="9" spans="1:9" x14ac:dyDescent="0.2">
      <c r="A9" s="2" t="s">
        <v>26</v>
      </c>
      <c r="B9" s="20" t="s">
        <v>98</v>
      </c>
      <c r="C9" s="2" t="s">
        <v>99</v>
      </c>
      <c r="D9" s="2" t="s">
        <v>87</v>
      </c>
      <c r="E9" s="2" t="s">
        <v>88</v>
      </c>
    </row>
    <row r="10" spans="1:9" x14ac:dyDescent="0.2">
      <c r="A10" s="2" t="s">
        <v>28</v>
      </c>
      <c r="B10" s="20" t="s">
        <v>100</v>
      </c>
      <c r="C10" s="2" t="s">
        <v>94</v>
      </c>
      <c r="D10" s="2" t="s">
        <v>95</v>
      </c>
      <c r="E10" s="2" t="s">
        <v>88</v>
      </c>
    </row>
    <row r="11" spans="1:9" x14ac:dyDescent="0.2">
      <c r="A11" s="2" t="s">
        <v>30</v>
      </c>
      <c r="B11" s="20" t="s">
        <v>101</v>
      </c>
      <c r="C11" s="2" t="s">
        <v>94</v>
      </c>
      <c r="D11" s="2" t="s">
        <v>95</v>
      </c>
      <c r="E11" s="2" t="s">
        <v>88</v>
      </c>
    </row>
    <row r="12" spans="1:9" x14ac:dyDescent="0.2">
      <c r="A12" s="2" t="s">
        <v>32</v>
      </c>
      <c r="B12" s="20" t="s">
        <v>102</v>
      </c>
      <c r="C12" s="2" t="s">
        <v>94</v>
      </c>
      <c r="D12" s="2" t="s">
        <v>95</v>
      </c>
      <c r="E12" s="2" t="s">
        <v>88</v>
      </c>
    </row>
    <row r="13" spans="1:9" x14ac:dyDescent="0.2">
      <c r="A13" s="2" t="s">
        <v>34</v>
      </c>
      <c r="B13" s="20" t="s">
        <v>103</v>
      </c>
      <c r="C13" s="2" t="s">
        <v>86</v>
      </c>
      <c r="D13" s="2" t="s">
        <v>87</v>
      </c>
      <c r="E13" s="2" t="s">
        <v>88</v>
      </c>
    </row>
    <row r="14" spans="1:9" x14ac:dyDescent="0.2">
      <c r="A14" s="2" t="s">
        <v>36</v>
      </c>
      <c r="B14" s="20" t="s">
        <v>104</v>
      </c>
      <c r="C14" s="2" t="s">
        <v>105</v>
      </c>
      <c r="D14" s="2" t="s">
        <v>95</v>
      </c>
      <c r="E14" s="2" t="s">
        <v>88</v>
      </c>
    </row>
    <row r="15" spans="1:9" x14ac:dyDescent="0.2">
      <c r="A15" s="2" t="s">
        <v>38</v>
      </c>
      <c r="B15" s="20" t="s">
        <v>106</v>
      </c>
      <c r="C15" s="2" t="s">
        <v>107</v>
      </c>
      <c r="D15" s="2" t="s">
        <v>95</v>
      </c>
      <c r="E15" s="2" t="s">
        <v>88</v>
      </c>
    </row>
    <row r="16" spans="1:9" x14ac:dyDescent="0.2">
      <c r="A16" s="2" t="s">
        <v>40</v>
      </c>
      <c r="B16" s="20" t="s">
        <v>108</v>
      </c>
      <c r="C16" s="2" t="s">
        <v>86</v>
      </c>
      <c r="D16" s="2" t="s">
        <v>95</v>
      </c>
      <c r="E16" s="2" t="s">
        <v>88</v>
      </c>
    </row>
    <row r="17" spans="1:5" x14ac:dyDescent="0.2">
      <c r="A17" s="2" t="s">
        <v>59</v>
      </c>
      <c r="B17" s="20" t="s">
        <v>109</v>
      </c>
      <c r="C17" s="2" t="s">
        <v>86</v>
      </c>
      <c r="D17" s="2" t="s">
        <v>95</v>
      </c>
      <c r="E17" s="2" t="s">
        <v>88</v>
      </c>
    </row>
    <row r="18" spans="1:5" x14ac:dyDescent="0.2">
      <c r="A18" s="2" t="s">
        <v>132</v>
      </c>
      <c r="B18" s="20" t="s">
        <v>386</v>
      </c>
      <c r="C18" s="2" t="s">
        <v>86</v>
      </c>
      <c r="D18" s="2" t="s">
        <v>87</v>
      </c>
      <c r="E18" s="2" t="s">
        <v>88</v>
      </c>
    </row>
    <row r="19" spans="1:5" x14ac:dyDescent="0.2">
      <c r="A19" s="2" t="s">
        <v>134</v>
      </c>
      <c r="B19" s="20" t="s">
        <v>387</v>
      </c>
      <c r="C19" s="2" t="s">
        <v>86</v>
      </c>
      <c r="D19" s="2" t="s">
        <v>87</v>
      </c>
      <c r="E19" s="2" t="s">
        <v>88</v>
      </c>
    </row>
    <row r="20" spans="1:5" x14ac:dyDescent="0.2">
      <c r="A20" s="22" t="s">
        <v>136</v>
      </c>
      <c r="B20" s="20" t="s">
        <v>388</v>
      </c>
      <c r="C20" s="2" t="s">
        <v>94</v>
      </c>
      <c r="D20" s="2" t="s">
        <v>87</v>
      </c>
      <c r="E20" s="2" t="s">
        <v>88</v>
      </c>
    </row>
    <row r="21" spans="1:5" x14ac:dyDescent="0.2">
      <c r="A21" s="2" t="s">
        <v>138</v>
      </c>
      <c r="B21" s="20" t="s">
        <v>389</v>
      </c>
      <c r="C21" s="2" t="s">
        <v>86</v>
      </c>
      <c r="D21" s="2" t="s">
        <v>95</v>
      </c>
      <c r="E21" s="2" t="s">
        <v>88</v>
      </c>
    </row>
    <row r="22" spans="1:5" x14ac:dyDescent="0.2">
      <c r="A22" s="2" t="s">
        <v>140</v>
      </c>
      <c r="B22" s="20" t="s">
        <v>390</v>
      </c>
      <c r="C22" s="2" t="s">
        <v>391</v>
      </c>
      <c r="D22" s="2" t="s">
        <v>95</v>
      </c>
      <c r="E22" s="2" t="s">
        <v>88</v>
      </c>
    </row>
    <row r="23" spans="1:5" x14ac:dyDescent="0.2">
      <c r="A23" s="2" t="s">
        <v>142</v>
      </c>
      <c r="B23" s="20" t="s">
        <v>392</v>
      </c>
      <c r="C23" s="2" t="s">
        <v>391</v>
      </c>
      <c r="D23" s="2" t="s">
        <v>95</v>
      </c>
      <c r="E23" s="2" t="s">
        <v>88</v>
      </c>
    </row>
    <row r="24" spans="1:5" x14ac:dyDescent="0.2">
      <c r="A24" s="2" t="s">
        <v>144</v>
      </c>
      <c r="B24" s="20" t="s">
        <v>393</v>
      </c>
      <c r="C24" s="2" t="s">
        <v>394</v>
      </c>
      <c r="D24" s="2" t="s">
        <v>95</v>
      </c>
      <c r="E24" s="2" t="s">
        <v>88</v>
      </c>
    </row>
    <row r="25" spans="1:5" x14ac:dyDescent="0.2">
      <c r="A25" s="2" t="s">
        <v>146</v>
      </c>
      <c r="B25" s="20" t="s">
        <v>395</v>
      </c>
      <c r="C25" s="2" t="s">
        <v>394</v>
      </c>
      <c r="D25" s="2" t="s">
        <v>95</v>
      </c>
      <c r="E25" s="2" t="s">
        <v>88</v>
      </c>
    </row>
    <row r="26" spans="1:5" x14ac:dyDescent="0.2">
      <c r="A26" s="2" t="s">
        <v>148</v>
      </c>
      <c r="B26" s="20" t="s">
        <v>396</v>
      </c>
      <c r="C26" s="2" t="s">
        <v>397</v>
      </c>
      <c r="D26" s="2" t="s">
        <v>95</v>
      </c>
      <c r="E26" s="2" t="s">
        <v>88</v>
      </c>
    </row>
    <row r="27" spans="1:5" x14ac:dyDescent="0.2">
      <c r="A27" s="2" t="s">
        <v>150</v>
      </c>
      <c r="B27" s="20" t="s">
        <v>398</v>
      </c>
      <c r="C27" s="2" t="s">
        <v>397</v>
      </c>
      <c r="D27" s="2" t="s">
        <v>95</v>
      </c>
      <c r="E27" s="2" t="s">
        <v>88</v>
      </c>
    </row>
    <row r="28" spans="1:5" x14ac:dyDescent="0.2">
      <c r="A28" s="2" t="s">
        <v>152</v>
      </c>
      <c r="B28" s="20" t="s">
        <v>399</v>
      </c>
      <c r="C28" s="2" t="s">
        <v>391</v>
      </c>
      <c r="D28" s="2" t="s">
        <v>95</v>
      </c>
      <c r="E28" s="2" t="s">
        <v>88</v>
      </c>
    </row>
    <row r="29" spans="1:5" x14ac:dyDescent="0.2">
      <c r="A29" s="2" t="s">
        <v>154</v>
      </c>
      <c r="B29" s="20" t="s">
        <v>400</v>
      </c>
      <c r="C29" s="2" t="s">
        <v>391</v>
      </c>
      <c r="D29" s="2" t="s">
        <v>95</v>
      </c>
      <c r="E29" s="2" t="s">
        <v>88</v>
      </c>
    </row>
    <row r="30" spans="1:5" x14ac:dyDescent="0.2">
      <c r="A30" s="2" t="s">
        <v>156</v>
      </c>
      <c r="B30" s="20" t="s">
        <v>401</v>
      </c>
      <c r="C30" s="2" t="s">
        <v>391</v>
      </c>
      <c r="D30" s="2" t="s">
        <v>95</v>
      </c>
      <c r="E30" s="2" t="s">
        <v>88</v>
      </c>
    </row>
    <row r="31" spans="1:5" x14ac:dyDescent="0.2">
      <c r="A31" s="2" t="s">
        <v>158</v>
      </c>
      <c r="B31" s="20" t="s">
        <v>402</v>
      </c>
      <c r="C31" s="2" t="s">
        <v>99</v>
      </c>
      <c r="D31" s="2" t="s">
        <v>87</v>
      </c>
      <c r="E31" s="2" t="s">
        <v>88</v>
      </c>
    </row>
    <row r="32" spans="1:5" x14ac:dyDescent="0.2">
      <c r="A32" s="2" t="s">
        <v>160</v>
      </c>
      <c r="B32" s="20" t="s">
        <v>403</v>
      </c>
      <c r="C32" s="2" t="s">
        <v>99</v>
      </c>
      <c r="D32" s="2" t="s">
        <v>95</v>
      </c>
      <c r="E32" s="2" t="s">
        <v>88</v>
      </c>
    </row>
    <row r="33" spans="1:5" x14ac:dyDescent="0.2">
      <c r="A33" s="2" t="s">
        <v>162</v>
      </c>
      <c r="B33" s="20" t="s">
        <v>404</v>
      </c>
      <c r="C33" s="2" t="s">
        <v>99</v>
      </c>
      <c r="D33" s="2" t="s">
        <v>95</v>
      </c>
      <c r="E33" s="2" t="s">
        <v>88</v>
      </c>
    </row>
    <row r="34" spans="1:5" x14ac:dyDescent="0.2">
      <c r="A34" s="2" t="s">
        <v>164</v>
      </c>
      <c r="B34" s="20" t="s">
        <v>405</v>
      </c>
      <c r="C34" s="2" t="s">
        <v>99</v>
      </c>
      <c r="D34" s="2" t="s">
        <v>95</v>
      </c>
      <c r="E34" s="2" t="s">
        <v>88</v>
      </c>
    </row>
    <row r="35" spans="1:5" x14ac:dyDescent="0.2">
      <c r="A35" s="2" t="s">
        <v>166</v>
      </c>
      <c r="B35" s="20" t="s">
        <v>406</v>
      </c>
      <c r="C35" s="2" t="s">
        <v>397</v>
      </c>
      <c r="D35" s="2" t="s">
        <v>87</v>
      </c>
      <c r="E35" s="2" t="s">
        <v>88</v>
      </c>
    </row>
    <row r="36" spans="1:5" x14ac:dyDescent="0.2">
      <c r="A36" s="2" t="s">
        <v>168</v>
      </c>
      <c r="B36" s="20" t="s">
        <v>407</v>
      </c>
      <c r="C36" s="2" t="s">
        <v>99</v>
      </c>
      <c r="D36" s="2" t="s">
        <v>87</v>
      </c>
      <c r="E36" s="2" t="s">
        <v>88</v>
      </c>
    </row>
    <row r="37" spans="1:5" x14ac:dyDescent="0.2">
      <c r="A37" s="2" t="s">
        <v>170</v>
      </c>
      <c r="B37" s="20" t="s">
        <v>408</v>
      </c>
      <c r="C37" s="2" t="s">
        <v>397</v>
      </c>
      <c r="D37" s="2" t="s">
        <v>95</v>
      </c>
      <c r="E37" s="2" t="s">
        <v>88</v>
      </c>
    </row>
    <row r="38" spans="1:5" x14ac:dyDescent="0.2">
      <c r="A38" s="2" t="s">
        <v>172</v>
      </c>
      <c r="B38" s="20" t="s">
        <v>409</v>
      </c>
      <c r="C38" s="2" t="s">
        <v>397</v>
      </c>
      <c r="D38" s="2" t="s">
        <v>95</v>
      </c>
      <c r="E38" s="2" t="s">
        <v>88</v>
      </c>
    </row>
    <row r="39" spans="1:5" x14ac:dyDescent="0.2">
      <c r="A39" s="2" t="s">
        <v>174</v>
      </c>
      <c r="B39" s="20" t="s">
        <v>410</v>
      </c>
      <c r="C39" s="2" t="s">
        <v>411</v>
      </c>
      <c r="D39" s="2" t="s">
        <v>95</v>
      </c>
      <c r="E39" s="2" t="s">
        <v>88</v>
      </c>
    </row>
    <row r="40" spans="1:5" x14ac:dyDescent="0.2">
      <c r="A40" s="2" t="s">
        <v>176</v>
      </c>
      <c r="B40" s="20" t="s">
        <v>412</v>
      </c>
      <c r="C40" s="2" t="s">
        <v>411</v>
      </c>
      <c r="D40" s="2" t="s">
        <v>95</v>
      </c>
      <c r="E40" s="2" t="s">
        <v>88</v>
      </c>
    </row>
    <row r="41" spans="1:5" x14ac:dyDescent="0.2">
      <c r="A41" s="2" t="s">
        <v>178</v>
      </c>
      <c r="B41" s="20" t="s">
        <v>413</v>
      </c>
      <c r="C41" s="2" t="s">
        <v>411</v>
      </c>
      <c r="D41" s="2" t="s">
        <v>95</v>
      </c>
      <c r="E41" s="2" t="s">
        <v>88</v>
      </c>
    </row>
    <row r="42" spans="1:5" x14ac:dyDescent="0.2">
      <c r="A42" s="2" t="s">
        <v>180</v>
      </c>
      <c r="B42" s="20" t="s">
        <v>414</v>
      </c>
      <c r="C42" s="2" t="s">
        <v>411</v>
      </c>
      <c r="D42" s="2" t="s">
        <v>87</v>
      </c>
      <c r="E42" s="2" t="s">
        <v>88</v>
      </c>
    </row>
    <row r="43" spans="1:5" x14ac:dyDescent="0.2">
      <c r="A43" s="2" t="s">
        <v>182</v>
      </c>
      <c r="B43" s="20" t="s">
        <v>415</v>
      </c>
      <c r="C43" s="2" t="s">
        <v>107</v>
      </c>
      <c r="D43" s="2" t="s">
        <v>95</v>
      </c>
      <c r="E43" s="2" t="s">
        <v>88</v>
      </c>
    </row>
    <row r="44" spans="1:5" x14ac:dyDescent="0.2">
      <c r="A44" s="2" t="s">
        <v>184</v>
      </c>
      <c r="B44" s="20" t="s">
        <v>416</v>
      </c>
      <c r="C44" s="2" t="s">
        <v>107</v>
      </c>
      <c r="D44" s="2" t="s">
        <v>95</v>
      </c>
      <c r="E44" s="2" t="s">
        <v>88</v>
      </c>
    </row>
    <row r="45" spans="1:5" x14ac:dyDescent="0.2">
      <c r="A45" s="2" t="s">
        <v>186</v>
      </c>
      <c r="B45" s="20" t="s">
        <v>417</v>
      </c>
      <c r="C45" s="2" t="s">
        <v>411</v>
      </c>
      <c r="D45" s="2" t="s">
        <v>95</v>
      </c>
      <c r="E45" s="2" t="s">
        <v>88</v>
      </c>
    </row>
    <row r="46" spans="1:5" x14ac:dyDescent="0.2">
      <c r="A46" s="2" t="s">
        <v>188</v>
      </c>
      <c r="B46" s="20" t="s">
        <v>418</v>
      </c>
      <c r="C46" s="2" t="s">
        <v>92</v>
      </c>
      <c r="D46" s="2" t="s">
        <v>95</v>
      </c>
      <c r="E46" s="2" t="s">
        <v>88</v>
      </c>
    </row>
    <row r="47" spans="1:5" x14ac:dyDescent="0.2">
      <c r="A47" s="2" t="s">
        <v>190</v>
      </c>
      <c r="B47" s="20" t="s">
        <v>419</v>
      </c>
      <c r="C47" s="2" t="s">
        <v>92</v>
      </c>
      <c r="D47" s="2" t="s">
        <v>95</v>
      </c>
      <c r="E47" s="2" t="s">
        <v>88</v>
      </c>
    </row>
    <row r="48" spans="1:5" x14ac:dyDescent="0.2">
      <c r="A48" s="2" t="s">
        <v>192</v>
      </c>
      <c r="B48" s="20" t="s">
        <v>420</v>
      </c>
      <c r="C48" s="2" t="s">
        <v>92</v>
      </c>
      <c r="D48" s="2" t="s">
        <v>87</v>
      </c>
      <c r="E48" s="2" t="s">
        <v>88</v>
      </c>
    </row>
    <row r="49" spans="1:5" x14ac:dyDescent="0.2">
      <c r="A49" s="2" t="s">
        <v>194</v>
      </c>
      <c r="B49" s="20" t="s">
        <v>421</v>
      </c>
      <c r="C49" s="2" t="s">
        <v>92</v>
      </c>
      <c r="D49" s="2" t="s">
        <v>87</v>
      </c>
      <c r="E49" s="2" t="s">
        <v>88</v>
      </c>
    </row>
    <row r="50" spans="1:5" x14ac:dyDescent="0.2">
      <c r="A50" s="2" t="s">
        <v>196</v>
      </c>
      <c r="B50" s="20" t="s">
        <v>422</v>
      </c>
      <c r="C50" s="2" t="s">
        <v>92</v>
      </c>
      <c r="D50" s="2" t="s">
        <v>95</v>
      </c>
      <c r="E50" s="2" t="s">
        <v>88</v>
      </c>
    </row>
    <row r="51" spans="1:5" x14ac:dyDescent="0.2">
      <c r="A51" s="2" t="s">
        <v>198</v>
      </c>
      <c r="B51" s="20" t="s">
        <v>423</v>
      </c>
      <c r="C51" s="2" t="s">
        <v>92</v>
      </c>
      <c r="D51" s="2" t="s">
        <v>95</v>
      </c>
      <c r="E51" s="2" t="s">
        <v>88</v>
      </c>
    </row>
    <row r="52" spans="1:5" x14ac:dyDescent="0.2">
      <c r="A52" s="2" t="s">
        <v>200</v>
      </c>
      <c r="B52" s="20" t="s">
        <v>424</v>
      </c>
      <c r="C52" s="2" t="s">
        <v>86</v>
      </c>
      <c r="D52" s="2" t="s">
        <v>95</v>
      </c>
      <c r="E52" s="2" t="s">
        <v>88</v>
      </c>
    </row>
    <row r="53" spans="1:5" x14ac:dyDescent="0.2">
      <c r="A53" s="2" t="s">
        <v>202</v>
      </c>
      <c r="B53" s="20" t="s">
        <v>425</v>
      </c>
      <c r="C53" s="2" t="s">
        <v>86</v>
      </c>
      <c r="D53" s="2" t="s">
        <v>87</v>
      </c>
      <c r="E53" s="2" t="s">
        <v>88</v>
      </c>
    </row>
    <row r="54" spans="1:5" x14ac:dyDescent="0.2">
      <c r="A54" s="2" t="s">
        <v>204</v>
      </c>
      <c r="B54" s="20" t="s">
        <v>426</v>
      </c>
      <c r="C54" s="2" t="s">
        <v>86</v>
      </c>
      <c r="D54" s="2" t="s">
        <v>87</v>
      </c>
      <c r="E54" s="2" t="s">
        <v>88</v>
      </c>
    </row>
    <row r="55" spans="1:5" x14ac:dyDescent="0.2">
      <c r="A55" s="2" t="s">
        <v>206</v>
      </c>
      <c r="B55" s="20" t="s">
        <v>427</v>
      </c>
      <c r="C55" s="2" t="s">
        <v>86</v>
      </c>
      <c r="D55" s="2" t="s">
        <v>95</v>
      </c>
      <c r="E55" s="2" t="s">
        <v>88</v>
      </c>
    </row>
    <row r="56" spans="1:5" x14ac:dyDescent="0.2">
      <c r="A56" s="2" t="s">
        <v>208</v>
      </c>
      <c r="B56" s="20" t="s">
        <v>428</v>
      </c>
      <c r="C56" s="2" t="s">
        <v>86</v>
      </c>
      <c r="D56" s="2" t="s">
        <v>87</v>
      </c>
      <c r="E56" s="2" t="s">
        <v>88</v>
      </c>
    </row>
    <row r="57" spans="1:5" x14ac:dyDescent="0.2">
      <c r="A57" s="2" t="s">
        <v>210</v>
      </c>
      <c r="B57" s="20" t="s">
        <v>429</v>
      </c>
      <c r="C57" s="2" t="s">
        <v>86</v>
      </c>
      <c r="D57" s="2" t="s">
        <v>95</v>
      </c>
      <c r="E57" s="2" t="s">
        <v>88</v>
      </c>
    </row>
    <row r="58" spans="1:5" x14ac:dyDescent="0.2">
      <c r="A58" s="2" t="s">
        <v>212</v>
      </c>
      <c r="B58" s="20" t="s">
        <v>430</v>
      </c>
      <c r="C58" s="2" t="s">
        <v>86</v>
      </c>
      <c r="D58" s="2" t="s">
        <v>95</v>
      </c>
      <c r="E58" s="2" t="s">
        <v>88</v>
      </c>
    </row>
    <row r="59" spans="1:5" x14ac:dyDescent="0.2">
      <c r="A59" s="2" t="s">
        <v>214</v>
      </c>
      <c r="B59" s="20" t="s">
        <v>431</v>
      </c>
      <c r="C59" s="2" t="s">
        <v>94</v>
      </c>
      <c r="D59" s="2" t="s">
        <v>95</v>
      </c>
      <c r="E59" s="2" t="s">
        <v>88</v>
      </c>
    </row>
    <row r="60" spans="1:5" x14ac:dyDescent="0.2">
      <c r="A60" s="2" t="s">
        <v>216</v>
      </c>
      <c r="B60" s="20" t="s">
        <v>432</v>
      </c>
      <c r="C60" s="2" t="s">
        <v>94</v>
      </c>
      <c r="D60" s="2" t="s">
        <v>87</v>
      </c>
      <c r="E60" s="2" t="s">
        <v>88</v>
      </c>
    </row>
    <row r="61" spans="1:5" x14ac:dyDescent="0.2">
      <c r="A61" s="2" t="s">
        <v>218</v>
      </c>
      <c r="B61" s="20" t="s">
        <v>433</v>
      </c>
      <c r="C61" s="2" t="s">
        <v>94</v>
      </c>
      <c r="D61" s="2" t="s">
        <v>87</v>
      </c>
      <c r="E61" s="2" t="s">
        <v>88</v>
      </c>
    </row>
    <row r="62" spans="1:5" x14ac:dyDescent="0.2">
      <c r="A62" s="2" t="s">
        <v>220</v>
      </c>
      <c r="B62" s="20" t="s">
        <v>434</v>
      </c>
      <c r="C62" s="2" t="s">
        <v>86</v>
      </c>
      <c r="D62" s="2" t="s">
        <v>95</v>
      </c>
      <c r="E62" s="2" t="s">
        <v>88</v>
      </c>
    </row>
    <row r="63" spans="1:5" x14ac:dyDescent="0.2">
      <c r="A63" s="2" t="s">
        <v>222</v>
      </c>
      <c r="B63" s="20" t="s">
        <v>435</v>
      </c>
      <c r="C63" s="2" t="s">
        <v>86</v>
      </c>
      <c r="D63" s="2" t="s">
        <v>95</v>
      </c>
      <c r="E63" s="2" t="s">
        <v>88</v>
      </c>
    </row>
    <row r="64" spans="1:5" x14ac:dyDescent="0.2">
      <c r="A64" s="2" t="s">
        <v>224</v>
      </c>
      <c r="B64" s="20" t="s">
        <v>436</v>
      </c>
      <c r="C64" s="2" t="s">
        <v>86</v>
      </c>
      <c r="D64" s="2" t="s">
        <v>95</v>
      </c>
      <c r="E64" s="2" t="s">
        <v>88</v>
      </c>
    </row>
    <row r="65" spans="1:5" x14ac:dyDescent="0.2">
      <c r="A65" s="2" t="s">
        <v>226</v>
      </c>
      <c r="B65" s="20" t="s">
        <v>437</v>
      </c>
      <c r="C65" s="2" t="s">
        <v>86</v>
      </c>
      <c r="D65" s="2" t="s">
        <v>95</v>
      </c>
      <c r="E65" s="2" t="s">
        <v>88</v>
      </c>
    </row>
    <row r="66" spans="1:5" x14ac:dyDescent="0.2">
      <c r="A66" s="2" t="s">
        <v>228</v>
      </c>
      <c r="B66" s="20" t="s">
        <v>438</v>
      </c>
      <c r="C66" s="2" t="s">
        <v>86</v>
      </c>
      <c r="D66" s="2" t="s">
        <v>95</v>
      </c>
      <c r="E66" s="2" t="s">
        <v>88</v>
      </c>
    </row>
    <row r="67" spans="1:5" x14ac:dyDescent="0.2">
      <c r="A67" s="2" t="s">
        <v>230</v>
      </c>
      <c r="B67" s="20" t="s">
        <v>439</v>
      </c>
      <c r="C67" s="2" t="s">
        <v>86</v>
      </c>
      <c r="D67" s="2" t="s">
        <v>95</v>
      </c>
      <c r="E67" s="2" t="s">
        <v>88</v>
      </c>
    </row>
    <row r="68" spans="1:5" x14ac:dyDescent="0.2">
      <c r="A68" s="2" t="s">
        <v>232</v>
      </c>
      <c r="B68" s="20" t="s">
        <v>440</v>
      </c>
      <c r="C68" s="2" t="s">
        <v>441</v>
      </c>
      <c r="D68" s="2" t="s">
        <v>87</v>
      </c>
      <c r="E68" s="2" t="s">
        <v>88</v>
      </c>
    </row>
    <row r="69" spans="1:5" x14ac:dyDescent="0.2">
      <c r="A69" s="2" t="s">
        <v>234</v>
      </c>
      <c r="B69" s="20" t="s">
        <v>442</v>
      </c>
      <c r="C69" s="2" t="s">
        <v>441</v>
      </c>
      <c r="D69" s="2" t="s">
        <v>87</v>
      </c>
      <c r="E69" s="2" t="s">
        <v>88</v>
      </c>
    </row>
    <row r="70" spans="1:5" x14ac:dyDescent="0.2">
      <c r="A70" s="2" t="s">
        <v>236</v>
      </c>
      <c r="B70" s="20" t="s">
        <v>443</v>
      </c>
      <c r="C70" s="2" t="s">
        <v>441</v>
      </c>
      <c r="D70" s="2" t="s">
        <v>95</v>
      </c>
      <c r="E70" s="2" t="s">
        <v>88</v>
      </c>
    </row>
    <row r="71" spans="1:5" x14ac:dyDescent="0.2">
      <c r="A71" s="2" t="s">
        <v>238</v>
      </c>
      <c r="B71" s="20" t="s">
        <v>444</v>
      </c>
      <c r="C71" s="2" t="s">
        <v>441</v>
      </c>
      <c r="D71" s="2" t="s">
        <v>87</v>
      </c>
      <c r="E71" s="2" t="s">
        <v>88</v>
      </c>
    </row>
    <row r="72" spans="1:5" x14ac:dyDescent="0.2">
      <c r="A72" s="2" t="s">
        <v>240</v>
      </c>
      <c r="B72" s="20" t="s">
        <v>445</v>
      </c>
      <c r="C72" s="2" t="s">
        <v>446</v>
      </c>
      <c r="D72" s="2" t="s">
        <v>87</v>
      </c>
      <c r="E72" s="2" t="s">
        <v>88</v>
      </c>
    </row>
    <row r="73" spans="1:5" x14ac:dyDescent="0.2">
      <c r="A73" s="2" t="s">
        <v>242</v>
      </c>
      <c r="B73" s="20" t="s">
        <v>447</v>
      </c>
      <c r="C73" s="2" t="s">
        <v>446</v>
      </c>
      <c r="D73" s="2" t="s">
        <v>95</v>
      </c>
      <c r="E73" s="2" t="s">
        <v>88</v>
      </c>
    </row>
    <row r="74" spans="1:5" x14ac:dyDescent="0.2">
      <c r="A74" s="2" t="s">
        <v>244</v>
      </c>
      <c r="B74" s="20" t="s">
        <v>448</v>
      </c>
      <c r="C74" s="2" t="s">
        <v>446</v>
      </c>
      <c r="D74" s="2" t="s">
        <v>95</v>
      </c>
      <c r="E74" s="2" t="s">
        <v>88</v>
      </c>
    </row>
    <row r="75" spans="1:5" x14ac:dyDescent="0.2">
      <c r="A75" s="2" t="s">
        <v>246</v>
      </c>
      <c r="B75" s="20" t="s">
        <v>449</v>
      </c>
      <c r="C75" s="2" t="s">
        <v>446</v>
      </c>
      <c r="D75" s="2" t="s">
        <v>87</v>
      </c>
      <c r="E75" s="2" t="s">
        <v>88</v>
      </c>
    </row>
    <row r="76" spans="1:5" x14ac:dyDescent="0.2">
      <c r="A76" s="2" t="s">
        <v>248</v>
      </c>
      <c r="B76" s="20" t="s">
        <v>450</v>
      </c>
      <c r="C76" s="2" t="s">
        <v>446</v>
      </c>
      <c r="D76" s="2" t="s">
        <v>87</v>
      </c>
      <c r="E76" s="2" t="s">
        <v>88</v>
      </c>
    </row>
    <row r="77" spans="1:5" x14ac:dyDescent="0.2">
      <c r="A77" s="2" t="s">
        <v>250</v>
      </c>
      <c r="B77" s="20" t="s">
        <v>451</v>
      </c>
      <c r="C77" s="2" t="s">
        <v>446</v>
      </c>
      <c r="D77" s="2" t="s">
        <v>87</v>
      </c>
      <c r="E77" s="2" t="s">
        <v>88</v>
      </c>
    </row>
    <row r="78" spans="1:5" x14ac:dyDescent="0.2">
      <c r="A78" s="2" t="s">
        <v>252</v>
      </c>
      <c r="B78" s="20" t="s">
        <v>452</v>
      </c>
      <c r="C78" s="2" t="s">
        <v>446</v>
      </c>
      <c r="D78" s="2" t="s">
        <v>87</v>
      </c>
      <c r="E78" s="2" t="s">
        <v>88</v>
      </c>
    </row>
    <row r="79" spans="1:5" x14ac:dyDescent="0.2">
      <c r="A79" s="2" t="s">
        <v>254</v>
      </c>
      <c r="B79" s="20" t="s">
        <v>453</v>
      </c>
      <c r="C79" s="2" t="s">
        <v>454</v>
      </c>
      <c r="D79" s="2" t="s">
        <v>87</v>
      </c>
      <c r="E79" s="2" t="s">
        <v>88</v>
      </c>
    </row>
    <row r="80" spans="1:5" x14ac:dyDescent="0.2">
      <c r="A80" s="2" t="s">
        <v>256</v>
      </c>
      <c r="B80" s="20" t="s">
        <v>455</v>
      </c>
      <c r="C80" s="2" t="s">
        <v>454</v>
      </c>
      <c r="D80" s="2" t="s">
        <v>95</v>
      </c>
      <c r="E80" s="2" t="s">
        <v>88</v>
      </c>
    </row>
    <row r="81" spans="1:5" x14ac:dyDescent="0.2">
      <c r="A81" s="2" t="s">
        <v>258</v>
      </c>
      <c r="B81" s="20" t="s">
        <v>456</v>
      </c>
      <c r="C81" s="2" t="s">
        <v>454</v>
      </c>
      <c r="D81" s="2" t="s">
        <v>87</v>
      </c>
      <c r="E81" s="2" t="s">
        <v>88</v>
      </c>
    </row>
    <row r="82" spans="1:5" x14ac:dyDescent="0.2">
      <c r="A82" s="2" t="s">
        <v>261</v>
      </c>
      <c r="B82" s="20" t="s">
        <v>457</v>
      </c>
      <c r="C82" s="2" t="s">
        <v>454</v>
      </c>
      <c r="D82" s="2" t="s">
        <v>95</v>
      </c>
      <c r="E82" s="2" t="s">
        <v>88</v>
      </c>
    </row>
    <row r="83" spans="1:5" x14ac:dyDescent="0.2">
      <c r="A83" s="2" t="s">
        <v>263</v>
      </c>
      <c r="B83" s="20" t="s">
        <v>458</v>
      </c>
      <c r="C83" s="2" t="s">
        <v>454</v>
      </c>
      <c r="D83" s="2" t="s">
        <v>95</v>
      </c>
      <c r="E83" s="2" t="s">
        <v>88</v>
      </c>
    </row>
    <row r="84" spans="1:5" x14ac:dyDescent="0.2">
      <c r="A84" s="2" t="s">
        <v>265</v>
      </c>
      <c r="B84" s="20" t="s">
        <v>459</v>
      </c>
      <c r="C84" s="2" t="s">
        <v>454</v>
      </c>
      <c r="D84" s="2" t="s">
        <v>87</v>
      </c>
      <c r="E84" s="2" t="s">
        <v>88</v>
      </c>
    </row>
    <row r="85" spans="1:5" x14ac:dyDescent="0.2">
      <c r="A85" s="2" t="s">
        <v>267</v>
      </c>
      <c r="B85" s="20" t="s">
        <v>460</v>
      </c>
      <c r="C85" s="2" t="s">
        <v>454</v>
      </c>
      <c r="D85" s="2" t="s">
        <v>95</v>
      </c>
      <c r="E85" s="2" t="s">
        <v>88</v>
      </c>
    </row>
    <row r="86" spans="1:5" x14ac:dyDescent="0.2">
      <c r="A86" s="2" t="s">
        <v>269</v>
      </c>
      <c r="B86" s="20" t="s">
        <v>461</v>
      </c>
      <c r="C86" s="2" t="s">
        <v>454</v>
      </c>
      <c r="D86" s="2" t="s">
        <v>87</v>
      </c>
      <c r="E86" s="2" t="s">
        <v>88</v>
      </c>
    </row>
    <row r="87" spans="1:5" x14ac:dyDescent="0.2">
      <c r="A87" s="2" t="s">
        <v>271</v>
      </c>
      <c r="B87" s="20" t="s">
        <v>462</v>
      </c>
      <c r="C87" s="2" t="s">
        <v>463</v>
      </c>
      <c r="D87" s="2" t="s">
        <v>95</v>
      </c>
      <c r="E87" s="2" t="s">
        <v>88</v>
      </c>
    </row>
    <row r="88" spans="1:5" x14ac:dyDescent="0.2">
      <c r="A88" s="2" t="s">
        <v>273</v>
      </c>
      <c r="B88" s="20" t="s">
        <v>464</v>
      </c>
      <c r="C88" s="2" t="s">
        <v>463</v>
      </c>
      <c r="D88" s="2" t="s">
        <v>95</v>
      </c>
      <c r="E88" s="2" t="s">
        <v>88</v>
      </c>
    </row>
    <row r="89" spans="1:5" x14ac:dyDescent="0.2">
      <c r="A89" s="2" t="s">
        <v>275</v>
      </c>
      <c r="B89" s="20" t="s">
        <v>465</v>
      </c>
      <c r="C89" s="2" t="s">
        <v>463</v>
      </c>
      <c r="D89" s="2" t="s">
        <v>95</v>
      </c>
      <c r="E89" s="2" t="s">
        <v>88</v>
      </c>
    </row>
    <row r="90" spans="1:5" x14ac:dyDescent="0.2">
      <c r="A90" s="2" t="s">
        <v>277</v>
      </c>
      <c r="B90" s="20" t="s">
        <v>466</v>
      </c>
      <c r="C90" s="2" t="s">
        <v>463</v>
      </c>
      <c r="D90" s="2" t="s">
        <v>95</v>
      </c>
      <c r="E90" s="2" t="s">
        <v>88</v>
      </c>
    </row>
    <row r="91" spans="1:5" x14ac:dyDescent="0.2">
      <c r="A91" s="2" t="s">
        <v>279</v>
      </c>
      <c r="B91" s="20" t="s">
        <v>467</v>
      </c>
      <c r="C91" s="2" t="s">
        <v>468</v>
      </c>
      <c r="D91" s="2" t="s">
        <v>95</v>
      </c>
      <c r="E91" s="2" t="s">
        <v>88</v>
      </c>
    </row>
    <row r="92" spans="1:5" x14ac:dyDescent="0.2">
      <c r="A92" s="2" t="s">
        <v>282</v>
      </c>
      <c r="B92" s="20" t="s">
        <v>469</v>
      </c>
      <c r="C92" s="2" t="s">
        <v>470</v>
      </c>
      <c r="D92" s="2" t="s">
        <v>87</v>
      </c>
      <c r="E92" s="2" t="s">
        <v>88</v>
      </c>
    </row>
    <row r="93" spans="1:5" x14ac:dyDescent="0.2">
      <c r="A93" s="2" t="s">
        <v>284</v>
      </c>
      <c r="B93" s="20" t="s">
        <v>471</v>
      </c>
      <c r="C93" s="2" t="s">
        <v>470</v>
      </c>
      <c r="D93" s="2" t="s">
        <v>95</v>
      </c>
      <c r="E93" s="2" t="s">
        <v>88</v>
      </c>
    </row>
    <row r="94" spans="1:5" x14ac:dyDescent="0.2">
      <c r="A94" s="2" t="s">
        <v>286</v>
      </c>
      <c r="B94" s="20" t="s">
        <v>472</v>
      </c>
      <c r="C94" s="2" t="s">
        <v>470</v>
      </c>
      <c r="D94" s="2" t="s">
        <v>87</v>
      </c>
      <c r="E94" s="2" t="s">
        <v>88</v>
      </c>
    </row>
    <row r="95" spans="1:5" x14ac:dyDescent="0.2">
      <c r="A95" s="2" t="s">
        <v>288</v>
      </c>
      <c r="B95" s="20" t="s">
        <v>473</v>
      </c>
      <c r="C95" s="2" t="s">
        <v>470</v>
      </c>
      <c r="D95" s="2" t="s">
        <v>95</v>
      </c>
      <c r="E95" s="2" t="s">
        <v>88</v>
      </c>
    </row>
    <row r="96" spans="1:5" x14ac:dyDescent="0.2">
      <c r="A96" s="2" t="s">
        <v>290</v>
      </c>
      <c r="B96" s="20" t="s">
        <v>474</v>
      </c>
      <c r="C96" s="2" t="s">
        <v>397</v>
      </c>
      <c r="D96" s="2" t="s">
        <v>95</v>
      </c>
      <c r="E96" s="2" t="s">
        <v>88</v>
      </c>
    </row>
    <row r="97" spans="1:5" x14ac:dyDescent="0.2">
      <c r="A97" s="2" t="s">
        <v>292</v>
      </c>
      <c r="B97" s="20" t="s">
        <v>475</v>
      </c>
      <c r="C97" s="2" t="s">
        <v>397</v>
      </c>
      <c r="D97" s="2" t="s">
        <v>95</v>
      </c>
      <c r="E97" s="2" t="s">
        <v>88</v>
      </c>
    </row>
    <row r="98" spans="1:5" x14ac:dyDescent="0.2">
      <c r="A98" s="2" t="s">
        <v>294</v>
      </c>
      <c r="B98" s="20" t="s">
        <v>476</v>
      </c>
      <c r="C98" s="2" t="s">
        <v>397</v>
      </c>
      <c r="D98" s="2" t="s">
        <v>87</v>
      </c>
      <c r="E98" s="2" t="s">
        <v>88</v>
      </c>
    </row>
    <row r="99" spans="1:5" x14ac:dyDescent="0.2">
      <c r="A99" s="2" t="s">
        <v>296</v>
      </c>
      <c r="B99" s="20" t="s">
        <v>477</v>
      </c>
      <c r="C99" s="2" t="s">
        <v>397</v>
      </c>
      <c r="D99" s="2" t="s">
        <v>95</v>
      </c>
      <c r="E99" s="2" t="s">
        <v>88</v>
      </c>
    </row>
    <row r="100" spans="1:5" x14ac:dyDescent="0.2">
      <c r="A100" s="2" t="s">
        <v>298</v>
      </c>
      <c r="B100" s="20" t="s">
        <v>478</v>
      </c>
      <c r="C100" s="2" t="s">
        <v>397</v>
      </c>
      <c r="D100" s="2" t="s">
        <v>95</v>
      </c>
      <c r="E100" s="2" t="s">
        <v>88</v>
      </c>
    </row>
    <row r="101" spans="1:5" x14ac:dyDescent="0.2">
      <c r="A101" s="2" t="s">
        <v>300</v>
      </c>
      <c r="B101" s="20" t="s">
        <v>479</v>
      </c>
      <c r="C101" s="2" t="s">
        <v>397</v>
      </c>
      <c r="D101" s="2" t="s">
        <v>95</v>
      </c>
      <c r="E101" s="2" t="s">
        <v>88</v>
      </c>
    </row>
    <row r="102" spans="1:5" x14ac:dyDescent="0.2">
      <c r="A102" s="2" t="s">
        <v>383</v>
      </c>
      <c r="B102" s="20" t="s">
        <v>480</v>
      </c>
      <c r="C102" s="2" t="s">
        <v>468</v>
      </c>
      <c r="D102" s="2" t="s">
        <v>87</v>
      </c>
      <c r="E102" s="2" t="s">
        <v>88</v>
      </c>
    </row>
    <row r="103" spans="1:5" x14ac:dyDescent="0.2">
      <c r="A103" s="2" t="s">
        <v>385</v>
      </c>
      <c r="B103" s="20" t="s">
        <v>481</v>
      </c>
      <c r="C103" s="2" t="s">
        <v>86</v>
      </c>
      <c r="D103" s="2" t="s">
        <v>87</v>
      </c>
      <c r="E103" s="2" t="s">
        <v>88</v>
      </c>
    </row>
    <row r="105" spans="1:5" ht="23" thickBot="1" x14ac:dyDescent="0.35">
      <c r="A105" s="23" t="s">
        <v>110</v>
      </c>
    </row>
    <row r="107" spans="1:5" ht="19" x14ac:dyDescent="0.25">
      <c r="A107" s="16" t="s">
        <v>111</v>
      </c>
      <c r="B107" s="16" t="s">
        <v>112</v>
      </c>
      <c r="C107" s="16" t="s">
        <v>113</v>
      </c>
      <c r="D107" s="16" t="s">
        <v>114</v>
      </c>
    </row>
    <row r="108" spans="1:5" x14ac:dyDescent="0.2">
      <c r="A108" s="2" t="s">
        <v>115</v>
      </c>
      <c r="B108" s="20" t="s">
        <v>119</v>
      </c>
      <c r="C108" s="2" t="s">
        <v>120</v>
      </c>
      <c r="D108" s="2" t="s">
        <v>121</v>
      </c>
    </row>
    <row r="109" spans="1:5" x14ac:dyDescent="0.2">
      <c r="A109" s="2" t="s">
        <v>116</v>
      </c>
      <c r="B109" s="20" t="s">
        <v>122</v>
      </c>
      <c r="C109" s="2" t="s">
        <v>120</v>
      </c>
      <c r="D109" s="2" t="s">
        <v>127</v>
      </c>
    </row>
    <row r="110" spans="1:5" x14ac:dyDescent="0.2">
      <c r="A110" s="2" t="s">
        <v>117</v>
      </c>
      <c r="B110" s="20" t="s">
        <v>123</v>
      </c>
      <c r="C110" s="2" t="s">
        <v>125</v>
      </c>
      <c r="D110" s="2" t="s">
        <v>128</v>
      </c>
    </row>
    <row r="111" spans="1:5" x14ac:dyDescent="0.2">
      <c r="A111" s="2" t="s">
        <v>118</v>
      </c>
      <c r="B111" s="20" t="s">
        <v>124</v>
      </c>
      <c r="C111" s="2" t="s">
        <v>126</v>
      </c>
      <c r="D111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Internal_Trades</vt:lpstr>
      <vt:lpstr>Broker_Confirms</vt:lpstr>
      <vt:lpstr>Reconciliation</vt:lpstr>
      <vt:lpstr>Dashboard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 Somi Reddy</dc:creator>
  <cp:lastModifiedBy>Vismay Somi Reddy</cp:lastModifiedBy>
  <dcterms:created xsi:type="dcterms:W3CDTF">2026-05-07T10:50:27Z</dcterms:created>
  <dcterms:modified xsi:type="dcterms:W3CDTF">2026-05-07T14:12:45Z</dcterms:modified>
</cp:coreProperties>
</file>